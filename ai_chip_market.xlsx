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Ex7.xml" ContentType="application/vnd.ms-office.chartex+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131"/>
  <workbookPr dateCompatibility="0" defaultThemeVersion="202300"/>
  <mc:AlternateContent xmlns:mc="http://schemas.openxmlformats.org/markup-compatibility/2006">
    <mc:Choice Requires="x15">
      <x15ac:absPath xmlns:x15ac="http://schemas.microsoft.com/office/spreadsheetml/2010/11/ac" url="https://d.docs.live.net/2511c86968700cb6/Documents/Analysis capstone/"/>
    </mc:Choice>
  </mc:AlternateContent>
  <xr:revisionPtr revIDLastSave="0" documentId="10_ncr:8_{BC6ABA82-32FD-43E8-940F-62F62E710B82}" xr6:coauthVersionLast="47" xr6:coauthVersionMax="47" xr10:uidLastSave="{00000000-0000-0000-0000-000000000000}"/>
  <bookViews>
    <workbookView xWindow="-110" yWindow="-110" windowWidth="19420" windowHeight="12220" firstSheet="3" activeTab="6" xr2:uid="{F2FBBDF4-E391-47C7-83F2-78D2E9AC19FD}"/>
  </bookViews>
  <sheets>
    <sheet name="ai_chip_market" sheetId="1" r:id="rId1"/>
    <sheet name=" skewness " sheetId="24" r:id="rId2"/>
    <sheet name="shipment revenue" sheetId="2" r:id="rId3"/>
    <sheet name="Time-Based Trends" sheetId="3" r:id="rId4"/>
    <sheet name="Total shipment by chip" sheetId="4" r:id="rId5"/>
    <sheet name="Compute efficiency" sheetId="16" r:id="rId6"/>
    <sheet name="chip efficency" sheetId="26" r:id="rId7"/>
    <sheet name="correlation matrix" sheetId="18" r:id="rId8"/>
    <sheet name="lifecycle" sheetId="22" r:id="rId9"/>
  </sheets>
  <definedNames>
    <definedName name="_xlchart.v1.0" hidden="1">ai_chip_market!$W$1</definedName>
    <definedName name="_xlchart.v1.1" hidden="1">ai_chip_market!$W$2:$W$121</definedName>
    <definedName name="_xlchart.v1.10" hidden="1">ai_chip_market!$AC$1</definedName>
    <definedName name="_xlchart.v1.11" hidden="1">ai_chip_market!$AC$2:$AC$121</definedName>
    <definedName name="_xlchart.v1.12" hidden="1">ai_chip_market!$B$2:$B$121</definedName>
    <definedName name="_xlchart.v1.13" hidden="1">ai_chip_market!$Q$1</definedName>
    <definedName name="_xlchart.v1.14" hidden="1">ai_chip_market!$Q$2:$Q$121</definedName>
    <definedName name="_xlchart.v1.2" hidden="1">ai_chip_market!$S$1</definedName>
    <definedName name="_xlchart.v1.3" hidden="1">ai_chip_market!$S$2:$S$121</definedName>
    <definedName name="_xlchart.v1.4" hidden="1">ai_chip_market!$AA$1</definedName>
    <definedName name="_xlchart.v1.5" hidden="1">ai_chip_market!$AA$2:$AA$121</definedName>
    <definedName name="_xlchart.v1.6" hidden="1">ai_chip_market!$U$1</definedName>
    <definedName name="_xlchart.v1.7" hidden="1">ai_chip_market!$U$2:$U$121</definedName>
    <definedName name="_xlchart.v1.8" hidden="1">ai_chip_market!$Y$1</definedName>
    <definedName name="_xlchart.v1.9" hidden="1">ai_chip_market!$Y$2:$Y$121</definedName>
    <definedName name="_xlcn.WorksheetConnection_ai_chip_market.xlsxTable11" hidden="1">Table1[]</definedName>
  </definedNames>
  <calcPr calcId="191029"/>
  <pivotCaches>
    <pivotCache cacheId="0" r:id="rId10"/>
    <pivotCache cacheId="1" r:id="rId11"/>
  </pivotCaches>
  <extLs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ai_chip_mark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E99" i="1" l="1"/>
  <c r="E100" i="1"/>
  <c r="E101" i="1"/>
  <c r="E102" i="1"/>
  <c r="E103" i="1"/>
  <c r="E104" i="1"/>
  <c r="E32" i="1"/>
  <c r="E33" i="1"/>
  <c r="E34" i="1"/>
  <c r="E35" i="1"/>
  <c r="E60" i="1"/>
  <c r="E61" i="1"/>
  <c r="E62" i="1"/>
  <c r="E27" i="1"/>
  <c r="E28" i="1"/>
  <c r="E40" i="1"/>
  <c r="E41" i="1"/>
  <c r="E42" i="1"/>
  <c r="E19" i="1"/>
  <c r="E20" i="1"/>
  <c r="E63" i="1"/>
  <c r="E64" i="1"/>
  <c r="E65" i="1"/>
  <c r="E70" i="1"/>
  <c r="E71" i="1"/>
  <c r="E72" i="1"/>
  <c r="E73" i="1"/>
  <c r="E74" i="1"/>
  <c r="E79" i="1"/>
  <c r="E80" i="1"/>
  <c r="E81" i="1"/>
  <c r="E82" i="1"/>
  <c r="E83" i="1"/>
  <c r="E84" i="1"/>
  <c r="E119" i="1"/>
  <c r="E120" i="1"/>
  <c r="E121" i="1"/>
  <c r="E105" i="1"/>
  <c r="E106" i="1"/>
  <c r="E107" i="1"/>
  <c r="E108" i="1"/>
  <c r="E109" i="1"/>
  <c r="E110" i="1"/>
  <c r="E111" i="1"/>
  <c r="E43" i="1"/>
  <c r="E44" i="1"/>
  <c r="E45" i="1"/>
  <c r="E46" i="1"/>
  <c r="E47" i="1"/>
  <c r="E48" i="1"/>
  <c r="E66" i="1"/>
  <c r="E67" i="1"/>
  <c r="E68" i="1"/>
  <c r="E69" i="1"/>
  <c r="E7" i="1"/>
  <c r="E8" i="1"/>
  <c r="E9" i="1"/>
  <c r="E10" i="1"/>
  <c r="E4" i="1"/>
  <c r="E5" i="1"/>
  <c r="E6" i="1"/>
  <c r="E2" i="1"/>
  <c r="E3" i="1"/>
  <c r="E21" i="1"/>
  <c r="E22" i="1"/>
  <c r="E23" i="1"/>
  <c r="E85" i="1"/>
  <c r="E86" i="1"/>
  <c r="E87" i="1"/>
  <c r="E88" i="1"/>
  <c r="E89" i="1"/>
  <c r="E90" i="1"/>
  <c r="E91" i="1"/>
  <c r="E56" i="1"/>
  <c r="E57" i="1"/>
  <c r="E58" i="1"/>
  <c r="E59" i="1"/>
  <c r="E29" i="1"/>
  <c r="E30" i="1"/>
  <c r="E31" i="1"/>
  <c r="E112" i="1"/>
  <c r="E113" i="1"/>
  <c r="E114" i="1"/>
  <c r="E115" i="1"/>
  <c r="E116" i="1"/>
  <c r="E117" i="1"/>
  <c r="E118" i="1"/>
  <c r="E92" i="1"/>
  <c r="E93" i="1"/>
  <c r="E94" i="1"/>
  <c r="E95" i="1"/>
  <c r="E96" i="1"/>
  <c r="E97" i="1"/>
  <c r="E98" i="1"/>
  <c r="E49" i="1"/>
  <c r="E50" i="1"/>
  <c r="E51" i="1"/>
  <c r="E52" i="1"/>
  <c r="E53" i="1"/>
  <c r="E54" i="1"/>
  <c r="E55" i="1"/>
  <c r="E75" i="1"/>
  <c r="E76" i="1"/>
  <c r="E77" i="1"/>
  <c r="E78" i="1"/>
  <c r="E16" i="1"/>
  <c r="E17" i="1"/>
  <c r="E18" i="1"/>
  <c r="E24" i="1"/>
  <c r="E25" i="1"/>
  <c r="E26" i="1"/>
  <c r="E11" i="1"/>
  <c r="E12" i="1"/>
  <c r="E36" i="1"/>
  <c r="E37" i="1"/>
  <c r="E38" i="1"/>
  <c r="E39" i="1"/>
  <c r="E13" i="1"/>
  <c r="E14" i="1"/>
  <c r="E15" i="1"/>
  <c r="Q99" i="1"/>
  <c r="Q100" i="1"/>
  <c r="Q101" i="1"/>
  <c r="Q102" i="1"/>
  <c r="Q103" i="1"/>
  <c r="Q104" i="1"/>
  <c r="Q32" i="1"/>
  <c r="Q33" i="1"/>
  <c r="Q34" i="1"/>
  <c r="Q35" i="1"/>
  <c r="Q60" i="1"/>
  <c r="Q61" i="1"/>
  <c r="Q62" i="1"/>
  <c r="Q27" i="1"/>
  <c r="Q28" i="1"/>
  <c r="Q40" i="1"/>
  <c r="Q41" i="1"/>
  <c r="Q42" i="1"/>
  <c r="Q19" i="1"/>
  <c r="Q20" i="1"/>
  <c r="Q63" i="1"/>
  <c r="Q64" i="1"/>
  <c r="Q65" i="1"/>
  <c r="Q70" i="1"/>
  <c r="Q71" i="1"/>
  <c r="Q72" i="1"/>
  <c r="Q73" i="1"/>
  <c r="Q74" i="1"/>
  <c r="Q79" i="1"/>
  <c r="Q80" i="1"/>
  <c r="Q81" i="1"/>
  <c r="Q82" i="1"/>
  <c r="Q83" i="1"/>
  <c r="Q84" i="1"/>
  <c r="Q119" i="1"/>
  <c r="Q120" i="1"/>
  <c r="Q121" i="1"/>
  <c r="Q105" i="1"/>
  <c r="Q106" i="1"/>
  <c r="Q107" i="1"/>
  <c r="Q108" i="1"/>
  <c r="Q109" i="1"/>
  <c r="Q110" i="1"/>
  <c r="Q111" i="1"/>
  <c r="Q43" i="1"/>
  <c r="Q44" i="1"/>
  <c r="Q45" i="1"/>
  <c r="Q46" i="1"/>
  <c r="Q47" i="1"/>
  <c r="Q48" i="1"/>
  <c r="Q66" i="1"/>
  <c r="Q67" i="1"/>
  <c r="Q68" i="1"/>
  <c r="Q69" i="1"/>
  <c r="Q7" i="1"/>
  <c r="Q8" i="1"/>
  <c r="Q9" i="1"/>
  <c r="Q10" i="1"/>
  <c r="Q4" i="1"/>
  <c r="Q5" i="1"/>
  <c r="Q6" i="1"/>
  <c r="Q2" i="1"/>
  <c r="Q3" i="1"/>
  <c r="Q21" i="1"/>
  <c r="Q22" i="1"/>
  <c r="Q23" i="1"/>
  <c r="Q85" i="1"/>
  <c r="Q86" i="1"/>
  <c r="Q87" i="1"/>
  <c r="Q88" i="1"/>
  <c r="Q89" i="1"/>
  <c r="Q90" i="1"/>
  <c r="Q91" i="1"/>
  <c r="Q56" i="1"/>
  <c r="Q57" i="1"/>
  <c r="Q58" i="1"/>
  <c r="Q59" i="1"/>
  <c r="Q29" i="1"/>
  <c r="Q30" i="1"/>
  <c r="Q31" i="1"/>
  <c r="Q112" i="1"/>
  <c r="Q113" i="1"/>
  <c r="Q114" i="1"/>
  <c r="Q115" i="1"/>
  <c r="Q116" i="1"/>
  <c r="Q117" i="1"/>
  <c r="Q118" i="1"/>
  <c r="Q92" i="1"/>
  <c r="Q93" i="1"/>
  <c r="Q94" i="1"/>
  <c r="Q95" i="1"/>
  <c r="Q96" i="1"/>
  <c r="Q97" i="1"/>
  <c r="Q98" i="1"/>
  <c r="Q49" i="1"/>
  <c r="Q50" i="1"/>
  <c r="Q51" i="1"/>
  <c r="Q52" i="1"/>
  <c r="Q53" i="1"/>
  <c r="Q54" i="1"/>
  <c r="Q55" i="1"/>
  <c r="Q75" i="1"/>
  <c r="Q76" i="1"/>
  <c r="Q77" i="1"/>
  <c r="Q78" i="1"/>
  <c r="Q16" i="1"/>
  <c r="Q17" i="1"/>
  <c r="Q18" i="1"/>
  <c r="Q24" i="1"/>
  <c r="Q25" i="1"/>
  <c r="Q26" i="1"/>
  <c r="Q11" i="1"/>
  <c r="Q12" i="1"/>
  <c r="Q36" i="1"/>
  <c r="Q37" i="1"/>
  <c r="Q38" i="1"/>
  <c r="Q39" i="1"/>
  <c r="Q13" i="1"/>
  <c r="Q14" i="1"/>
  <c r="Q15" i="1"/>
  <c r="U112" i="1" l="1"/>
  <c r="U113" i="1"/>
  <c r="U114" i="1"/>
  <c r="U115" i="1"/>
  <c r="U116" i="1"/>
  <c r="U117" i="1"/>
  <c r="U118" i="1"/>
  <c r="U92" i="1"/>
  <c r="U93" i="1"/>
  <c r="U94" i="1"/>
  <c r="U95" i="1"/>
  <c r="U96" i="1"/>
  <c r="U97" i="1"/>
  <c r="U98" i="1"/>
  <c r="U49" i="1"/>
  <c r="U50" i="1"/>
  <c r="U51" i="1"/>
  <c r="U52" i="1"/>
  <c r="U53" i="1"/>
  <c r="U54" i="1"/>
  <c r="U55" i="1"/>
  <c r="U75" i="1"/>
  <c r="U76" i="1"/>
  <c r="U77" i="1"/>
  <c r="U78" i="1"/>
  <c r="U16" i="1"/>
  <c r="U17" i="1"/>
  <c r="U18" i="1"/>
  <c r="U24" i="1"/>
  <c r="U25" i="1"/>
  <c r="U26" i="1"/>
  <c r="U11" i="1"/>
  <c r="U12" i="1"/>
  <c r="U99" i="1"/>
  <c r="U100" i="1"/>
  <c r="U101" i="1"/>
  <c r="U102" i="1"/>
  <c r="U103" i="1"/>
  <c r="U104" i="1"/>
  <c r="U32" i="1"/>
  <c r="U33" i="1"/>
  <c r="U34" i="1"/>
  <c r="U35" i="1"/>
  <c r="U60" i="1"/>
  <c r="U61" i="1"/>
  <c r="U62" i="1"/>
  <c r="U27" i="1"/>
  <c r="U28" i="1"/>
  <c r="U105" i="1"/>
  <c r="U106" i="1"/>
  <c r="U107" i="1"/>
  <c r="U108" i="1"/>
  <c r="U109" i="1"/>
  <c r="U110" i="1"/>
  <c r="U111" i="1"/>
  <c r="U43" i="1"/>
  <c r="U44" i="1"/>
  <c r="U45" i="1"/>
  <c r="U46" i="1"/>
  <c r="U47" i="1"/>
  <c r="U48" i="1"/>
  <c r="U66" i="1"/>
  <c r="U67" i="1"/>
  <c r="U68" i="1"/>
  <c r="U69" i="1"/>
  <c r="U7" i="1"/>
  <c r="U8" i="1"/>
  <c r="U9" i="1"/>
  <c r="U10" i="1"/>
  <c r="U4" i="1"/>
  <c r="U5" i="1"/>
  <c r="U6" i="1"/>
  <c r="U2" i="1"/>
  <c r="U3" i="1"/>
  <c r="U63" i="1"/>
  <c r="U64" i="1"/>
  <c r="U65" i="1"/>
  <c r="U70" i="1"/>
  <c r="U71" i="1"/>
  <c r="U72" i="1"/>
  <c r="U73" i="1"/>
  <c r="U74" i="1"/>
  <c r="U119" i="1"/>
  <c r="U120" i="1"/>
  <c r="U121" i="1"/>
  <c r="U21" i="1"/>
  <c r="U22" i="1"/>
  <c r="U23" i="1"/>
  <c r="U36" i="1"/>
  <c r="U37" i="1"/>
  <c r="U38" i="1"/>
  <c r="U39" i="1"/>
  <c r="U13" i="1"/>
  <c r="U14" i="1"/>
  <c r="U15" i="1"/>
  <c r="U85" i="1"/>
  <c r="U86" i="1"/>
  <c r="U87" i="1"/>
  <c r="U88" i="1"/>
  <c r="U89" i="1"/>
  <c r="U90" i="1"/>
  <c r="U91" i="1"/>
  <c r="U56" i="1"/>
  <c r="U57" i="1"/>
  <c r="U58" i="1"/>
  <c r="U59" i="1"/>
  <c r="U29" i="1"/>
  <c r="U30" i="1"/>
  <c r="U31" i="1"/>
  <c r="U79" i="1"/>
  <c r="U80" i="1"/>
  <c r="U81" i="1"/>
  <c r="U82" i="1"/>
  <c r="U83" i="1"/>
  <c r="U84" i="1"/>
  <c r="U40" i="1"/>
  <c r="U41" i="1"/>
  <c r="U42" i="1"/>
  <c r="U19" i="1"/>
  <c r="U20" i="1"/>
  <c r="Y112" i="1"/>
  <c r="Y113" i="1"/>
  <c r="Y114" i="1"/>
  <c r="Y115" i="1"/>
  <c r="Y116" i="1"/>
  <c r="Y117" i="1"/>
  <c r="Y118" i="1"/>
  <c r="Y92" i="1"/>
  <c r="Y93" i="1"/>
  <c r="Y94" i="1"/>
  <c r="Y95" i="1"/>
  <c r="Y96" i="1"/>
  <c r="Y97" i="1"/>
  <c r="Y98" i="1"/>
  <c r="Y49" i="1"/>
  <c r="Y50" i="1"/>
  <c r="Y51" i="1"/>
  <c r="Y52" i="1"/>
  <c r="Y53" i="1"/>
  <c r="Y54" i="1"/>
  <c r="Y55" i="1"/>
  <c r="Y75" i="1"/>
  <c r="Y76" i="1"/>
  <c r="Y77" i="1"/>
  <c r="Y78" i="1"/>
  <c r="Y16" i="1"/>
  <c r="Y17" i="1"/>
  <c r="Y18" i="1"/>
  <c r="Y24" i="1"/>
  <c r="Y25" i="1"/>
  <c r="Y26" i="1"/>
  <c r="Y11" i="1"/>
  <c r="Y12" i="1"/>
  <c r="Y99" i="1"/>
  <c r="Y100" i="1"/>
  <c r="Y101" i="1"/>
  <c r="Y102" i="1"/>
  <c r="Y103" i="1"/>
  <c r="Y104" i="1"/>
  <c r="Y32" i="1"/>
  <c r="Y33" i="1"/>
  <c r="Y34" i="1"/>
  <c r="Y35" i="1"/>
  <c r="Y60" i="1"/>
  <c r="Y61" i="1"/>
  <c r="Y62" i="1"/>
  <c r="Y27" i="1"/>
  <c r="Y28" i="1"/>
  <c r="Y105" i="1"/>
  <c r="Y106" i="1"/>
  <c r="Y107" i="1"/>
  <c r="Y108" i="1"/>
  <c r="Y109" i="1"/>
  <c r="Y110" i="1"/>
  <c r="Y111" i="1"/>
  <c r="Y43" i="1"/>
  <c r="Y44" i="1"/>
  <c r="Y45" i="1"/>
  <c r="Y46" i="1"/>
  <c r="Y47" i="1"/>
  <c r="Y48" i="1"/>
  <c r="Y66" i="1"/>
  <c r="Y67" i="1"/>
  <c r="Y68" i="1"/>
  <c r="Y69" i="1"/>
  <c r="Y7" i="1"/>
  <c r="Y8" i="1"/>
  <c r="Y9" i="1"/>
  <c r="Y10" i="1"/>
  <c r="Y4" i="1"/>
  <c r="Y5" i="1"/>
  <c r="Y6" i="1"/>
  <c r="Y2" i="1"/>
  <c r="Y3" i="1"/>
  <c r="Y63" i="1"/>
  <c r="Y64" i="1"/>
  <c r="Y65" i="1"/>
  <c r="Y70" i="1"/>
  <c r="Y71" i="1"/>
  <c r="Y72" i="1"/>
  <c r="Y73" i="1"/>
  <c r="Y74" i="1"/>
  <c r="Y119" i="1"/>
  <c r="Y120" i="1"/>
  <c r="Y121" i="1"/>
  <c r="Y21" i="1"/>
  <c r="Y22" i="1"/>
  <c r="Y23" i="1"/>
  <c r="Y36" i="1"/>
  <c r="Y37" i="1"/>
  <c r="Y38" i="1"/>
  <c r="Y39" i="1"/>
  <c r="Y13" i="1"/>
  <c r="Y14" i="1"/>
  <c r="Y15" i="1"/>
  <c r="Y85" i="1"/>
  <c r="Y86" i="1"/>
  <c r="Y87" i="1"/>
  <c r="Y88" i="1"/>
  <c r="Y89" i="1"/>
  <c r="Y90" i="1"/>
  <c r="Y91" i="1"/>
  <c r="Y56" i="1"/>
  <c r="Y57" i="1"/>
  <c r="Y58" i="1"/>
  <c r="Y59" i="1"/>
  <c r="Y29" i="1"/>
  <c r="Y30" i="1"/>
  <c r="Y31" i="1"/>
  <c r="Y79" i="1"/>
  <c r="Y80" i="1"/>
  <c r="Y81" i="1"/>
  <c r="Y82" i="1"/>
  <c r="Y83" i="1"/>
  <c r="Y84" i="1"/>
  <c r="Y40" i="1"/>
  <c r="Y41" i="1"/>
  <c r="Y42" i="1"/>
  <c r="Y19" i="1"/>
  <c r="Y20" i="1"/>
  <c r="T112" i="1"/>
  <c r="AC112" i="1"/>
  <c r="AC113" i="1"/>
  <c r="AC114" i="1"/>
  <c r="AC115" i="1"/>
  <c r="AC116" i="1"/>
  <c r="AC117" i="1"/>
  <c r="AC118" i="1"/>
  <c r="AC92" i="1"/>
  <c r="AC93" i="1"/>
  <c r="AC94" i="1"/>
  <c r="AC95" i="1"/>
  <c r="AC96" i="1"/>
  <c r="AC97" i="1"/>
  <c r="AC98" i="1"/>
  <c r="AC49" i="1"/>
  <c r="AC50" i="1"/>
  <c r="AC51" i="1"/>
  <c r="AC52" i="1"/>
  <c r="AC53" i="1"/>
  <c r="AC54" i="1"/>
  <c r="AC55" i="1"/>
  <c r="AC75" i="1"/>
  <c r="AC76" i="1"/>
  <c r="AC77" i="1"/>
  <c r="AC78" i="1"/>
  <c r="AC16" i="1"/>
  <c r="AC17" i="1"/>
  <c r="AC18" i="1"/>
  <c r="AC24" i="1"/>
  <c r="AC25" i="1"/>
  <c r="AC26" i="1"/>
  <c r="AC11" i="1"/>
  <c r="AC12" i="1"/>
  <c r="AC99" i="1"/>
  <c r="AC100" i="1"/>
  <c r="AC101" i="1"/>
  <c r="AC102" i="1"/>
  <c r="AC103" i="1"/>
  <c r="AC104" i="1"/>
  <c r="AC32" i="1"/>
  <c r="AC33" i="1"/>
  <c r="AC34" i="1"/>
  <c r="AC35" i="1"/>
  <c r="AC60" i="1"/>
  <c r="AC61" i="1"/>
  <c r="AC62" i="1"/>
  <c r="AC27" i="1"/>
  <c r="AC28" i="1"/>
  <c r="AC105" i="1"/>
  <c r="AC106" i="1"/>
  <c r="AC107" i="1"/>
  <c r="AC108" i="1"/>
  <c r="AC109" i="1"/>
  <c r="AC110" i="1"/>
  <c r="AC111" i="1"/>
  <c r="AC43" i="1"/>
  <c r="AC44" i="1"/>
  <c r="AC45" i="1"/>
  <c r="AC46" i="1"/>
  <c r="AC47" i="1"/>
  <c r="AC48" i="1"/>
  <c r="AC66" i="1"/>
  <c r="AC67" i="1"/>
  <c r="AC68" i="1"/>
  <c r="AC69" i="1"/>
  <c r="AC7" i="1"/>
  <c r="AC8" i="1"/>
  <c r="AC9" i="1"/>
  <c r="AC10" i="1"/>
  <c r="AC4" i="1"/>
  <c r="AC5" i="1"/>
  <c r="AC6" i="1"/>
  <c r="AC2" i="1"/>
  <c r="AC3" i="1"/>
  <c r="AC63" i="1"/>
  <c r="AC64" i="1"/>
  <c r="AC65" i="1"/>
  <c r="AC70" i="1"/>
  <c r="AC71" i="1"/>
  <c r="AC72" i="1"/>
  <c r="AC73" i="1"/>
  <c r="AC74" i="1"/>
  <c r="AC119" i="1"/>
  <c r="AC120" i="1"/>
  <c r="AC121" i="1"/>
  <c r="AC21" i="1"/>
  <c r="AC22" i="1"/>
  <c r="AC23" i="1"/>
  <c r="AC36" i="1"/>
  <c r="AC37" i="1"/>
  <c r="AC38" i="1"/>
  <c r="AC39" i="1"/>
  <c r="AC13" i="1"/>
  <c r="AC14" i="1"/>
  <c r="AC15" i="1"/>
  <c r="AC85" i="1"/>
  <c r="AC86" i="1"/>
  <c r="AC87" i="1"/>
  <c r="AC88" i="1"/>
  <c r="AC89" i="1"/>
  <c r="AC90" i="1"/>
  <c r="AC91" i="1"/>
  <c r="AC56" i="1"/>
  <c r="AC57" i="1"/>
  <c r="AC58" i="1"/>
  <c r="AC59" i="1"/>
  <c r="AC29" i="1"/>
  <c r="AC30" i="1"/>
  <c r="AC31" i="1"/>
  <c r="AC79" i="1"/>
  <c r="AC80" i="1"/>
  <c r="AC81" i="1"/>
  <c r="AC82" i="1"/>
  <c r="AC83" i="1"/>
  <c r="AC84" i="1"/>
  <c r="AC40" i="1"/>
  <c r="AC41" i="1"/>
  <c r="AC42" i="1"/>
  <c r="AC19" i="1"/>
  <c r="AC20" i="1"/>
  <c r="P112" i="1"/>
  <c r="P113" i="1"/>
  <c r="P114" i="1"/>
  <c r="P115" i="1"/>
  <c r="P116" i="1"/>
  <c r="P117" i="1"/>
  <c r="P118" i="1"/>
  <c r="P92" i="1"/>
  <c r="P93" i="1"/>
  <c r="P94" i="1"/>
  <c r="P95" i="1"/>
  <c r="P96" i="1"/>
  <c r="P97" i="1"/>
  <c r="P98" i="1"/>
  <c r="P49" i="1"/>
  <c r="P50" i="1"/>
  <c r="P51" i="1"/>
  <c r="P52" i="1"/>
  <c r="P53" i="1"/>
  <c r="P54" i="1"/>
  <c r="P55" i="1"/>
  <c r="P75" i="1"/>
  <c r="P76" i="1"/>
  <c r="P77" i="1"/>
  <c r="P78" i="1"/>
  <c r="P16" i="1"/>
  <c r="P17" i="1"/>
  <c r="P18" i="1"/>
  <c r="P24" i="1"/>
  <c r="P25" i="1"/>
  <c r="P26" i="1"/>
  <c r="P11" i="1"/>
  <c r="P12" i="1"/>
  <c r="P99" i="1"/>
  <c r="P100" i="1"/>
  <c r="P101" i="1"/>
  <c r="P102" i="1"/>
  <c r="P103" i="1"/>
  <c r="P104" i="1"/>
  <c r="P32" i="1"/>
  <c r="P33" i="1"/>
  <c r="P34" i="1"/>
  <c r="P35" i="1"/>
  <c r="P60" i="1"/>
  <c r="P61" i="1"/>
  <c r="P62" i="1"/>
  <c r="P27" i="1"/>
  <c r="P28" i="1"/>
  <c r="P105" i="1"/>
  <c r="P106" i="1"/>
  <c r="P107" i="1"/>
  <c r="P108" i="1"/>
  <c r="P109" i="1"/>
  <c r="P110" i="1"/>
  <c r="P111" i="1"/>
  <c r="P43" i="1"/>
  <c r="P44" i="1"/>
  <c r="P45" i="1"/>
  <c r="P46" i="1"/>
  <c r="P47" i="1"/>
  <c r="P48" i="1"/>
  <c r="P66" i="1"/>
  <c r="P67" i="1"/>
  <c r="P68" i="1"/>
  <c r="P69" i="1"/>
  <c r="P7" i="1"/>
  <c r="P8" i="1"/>
  <c r="P9" i="1"/>
  <c r="P10" i="1"/>
  <c r="P4" i="1"/>
  <c r="P5" i="1"/>
  <c r="P6" i="1"/>
  <c r="P2" i="1"/>
  <c r="P3" i="1"/>
  <c r="P63" i="1"/>
  <c r="P64" i="1"/>
  <c r="P65" i="1"/>
  <c r="P70" i="1"/>
  <c r="P71" i="1"/>
  <c r="P72" i="1"/>
  <c r="P73" i="1"/>
  <c r="P74" i="1"/>
  <c r="P119" i="1"/>
  <c r="P120" i="1"/>
  <c r="P121" i="1"/>
  <c r="P21" i="1"/>
  <c r="P22" i="1"/>
  <c r="P23" i="1"/>
  <c r="P36" i="1"/>
  <c r="P37" i="1"/>
  <c r="P38" i="1"/>
  <c r="P39" i="1"/>
  <c r="P13" i="1"/>
  <c r="P14" i="1"/>
  <c r="P15" i="1"/>
  <c r="P85" i="1"/>
  <c r="P86" i="1"/>
  <c r="P87" i="1"/>
  <c r="P88" i="1"/>
  <c r="P89" i="1"/>
  <c r="P90" i="1"/>
  <c r="P91" i="1"/>
  <c r="P56" i="1"/>
  <c r="P57" i="1"/>
  <c r="P58" i="1"/>
  <c r="P59" i="1"/>
  <c r="P29" i="1"/>
  <c r="P30" i="1"/>
  <c r="P31" i="1"/>
  <c r="P79" i="1"/>
  <c r="P80" i="1"/>
  <c r="P81" i="1"/>
  <c r="P82" i="1"/>
  <c r="P83" i="1"/>
  <c r="P84" i="1"/>
  <c r="P40" i="1"/>
  <c r="P41" i="1"/>
  <c r="P42" i="1"/>
  <c r="P19" i="1"/>
  <c r="P20" i="1"/>
  <c r="L112" i="1"/>
  <c r="L113" i="1"/>
  <c r="L114" i="1"/>
  <c r="L115" i="1"/>
  <c r="L116" i="1"/>
  <c r="L117" i="1"/>
  <c r="L118" i="1"/>
  <c r="L92" i="1"/>
  <c r="L93" i="1"/>
  <c r="L94" i="1"/>
  <c r="L95" i="1"/>
  <c r="L96" i="1"/>
  <c r="L97" i="1"/>
  <c r="L98" i="1"/>
  <c r="L49" i="1"/>
  <c r="L50" i="1"/>
  <c r="L51" i="1"/>
  <c r="L52" i="1"/>
  <c r="L53" i="1"/>
  <c r="L54" i="1"/>
  <c r="L55" i="1"/>
  <c r="L75" i="1"/>
  <c r="L76" i="1"/>
  <c r="L77" i="1"/>
  <c r="L78" i="1"/>
  <c r="L16" i="1"/>
  <c r="L17" i="1"/>
  <c r="L18" i="1"/>
  <c r="L24" i="1"/>
  <c r="L25" i="1"/>
  <c r="L26" i="1"/>
  <c r="L11" i="1"/>
  <c r="L12" i="1"/>
  <c r="L99" i="1"/>
  <c r="L100" i="1"/>
  <c r="L101" i="1"/>
  <c r="L102" i="1"/>
  <c r="L103" i="1"/>
  <c r="L104" i="1"/>
  <c r="L32" i="1"/>
  <c r="L33" i="1"/>
  <c r="L34" i="1"/>
  <c r="L35" i="1"/>
  <c r="L60" i="1"/>
  <c r="L61" i="1"/>
  <c r="L62" i="1"/>
  <c r="L27" i="1"/>
  <c r="L28" i="1"/>
  <c r="L105" i="1"/>
  <c r="L106" i="1"/>
  <c r="L107" i="1"/>
  <c r="L108" i="1"/>
  <c r="L109" i="1"/>
  <c r="L110" i="1"/>
  <c r="L111" i="1"/>
  <c r="L43" i="1"/>
  <c r="L44" i="1"/>
  <c r="L45" i="1"/>
  <c r="L46" i="1"/>
  <c r="L47" i="1"/>
  <c r="L48" i="1"/>
  <c r="L66" i="1"/>
  <c r="L67" i="1"/>
  <c r="L68" i="1"/>
  <c r="L69" i="1"/>
  <c r="L7" i="1"/>
  <c r="L8" i="1"/>
  <c r="L9" i="1"/>
  <c r="L10" i="1"/>
  <c r="L4" i="1"/>
  <c r="L5" i="1"/>
  <c r="L6" i="1"/>
  <c r="L2" i="1"/>
  <c r="L3" i="1"/>
  <c r="L63" i="1"/>
  <c r="L64" i="1"/>
  <c r="L65" i="1"/>
  <c r="L70" i="1"/>
  <c r="L71" i="1"/>
  <c r="L72" i="1"/>
  <c r="L73" i="1"/>
  <c r="L74" i="1"/>
  <c r="L119" i="1"/>
  <c r="L120" i="1"/>
  <c r="L121" i="1"/>
  <c r="L21" i="1"/>
  <c r="L22" i="1"/>
  <c r="L23" i="1"/>
  <c r="L36" i="1"/>
  <c r="L37" i="1"/>
  <c r="L38" i="1"/>
  <c r="L39" i="1"/>
  <c r="L13" i="1"/>
  <c r="L14" i="1"/>
  <c r="L15" i="1"/>
  <c r="L85" i="1"/>
  <c r="L86" i="1"/>
  <c r="L87" i="1"/>
  <c r="L88" i="1"/>
  <c r="L89" i="1"/>
  <c r="L90" i="1"/>
  <c r="L91" i="1"/>
  <c r="L56" i="1"/>
  <c r="L57" i="1"/>
  <c r="L58" i="1"/>
  <c r="L59" i="1"/>
  <c r="L29" i="1"/>
  <c r="L30" i="1"/>
  <c r="L31" i="1"/>
  <c r="L79" i="1"/>
  <c r="L80" i="1"/>
  <c r="L81" i="1"/>
  <c r="L82" i="1"/>
  <c r="L83" i="1"/>
  <c r="L84" i="1"/>
  <c r="L40" i="1"/>
  <c r="L41" i="1"/>
  <c r="L42" i="1"/>
  <c r="L19" i="1"/>
  <c r="L20" i="1"/>
  <c r="H112" i="1"/>
  <c r="H113" i="1"/>
  <c r="H114" i="1"/>
  <c r="H115" i="1"/>
  <c r="H116" i="1"/>
  <c r="H117" i="1"/>
  <c r="H118" i="1"/>
  <c r="H92" i="1"/>
  <c r="H93" i="1"/>
  <c r="H94" i="1"/>
  <c r="H95" i="1"/>
  <c r="H96" i="1"/>
  <c r="H97" i="1"/>
  <c r="H98" i="1"/>
  <c r="H49" i="1"/>
  <c r="H50" i="1"/>
  <c r="H51" i="1"/>
  <c r="H52" i="1"/>
  <c r="H53" i="1"/>
  <c r="H54" i="1"/>
  <c r="H55" i="1"/>
  <c r="H75" i="1"/>
  <c r="H76" i="1"/>
  <c r="H77" i="1"/>
  <c r="H78" i="1"/>
  <c r="H16" i="1"/>
  <c r="H17" i="1"/>
  <c r="H18" i="1"/>
  <c r="H24" i="1"/>
  <c r="H25" i="1"/>
  <c r="H26" i="1"/>
  <c r="H11" i="1"/>
  <c r="H12" i="1"/>
  <c r="H99" i="1"/>
  <c r="H100" i="1"/>
  <c r="H101" i="1"/>
  <c r="H102" i="1"/>
  <c r="H103" i="1"/>
  <c r="H104" i="1"/>
  <c r="H32" i="1"/>
  <c r="H33" i="1"/>
  <c r="H34" i="1"/>
  <c r="H35" i="1"/>
  <c r="H60" i="1"/>
  <c r="H61" i="1"/>
  <c r="H62" i="1"/>
  <c r="H27" i="1"/>
  <c r="H28" i="1"/>
  <c r="H105" i="1"/>
  <c r="H106" i="1"/>
  <c r="H107" i="1"/>
  <c r="H108" i="1"/>
  <c r="H109" i="1"/>
  <c r="H110" i="1"/>
  <c r="H111" i="1"/>
  <c r="H43" i="1"/>
  <c r="H44" i="1"/>
  <c r="H45" i="1"/>
  <c r="H46" i="1"/>
  <c r="H47" i="1"/>
  <c r="H48" i="1"/>
  <c r="H66" i="1"/>
  <c r="H67" i="1"/>
  <c r="H68" i="1"/>
  <c r="H69" i="1"/>
  <c r="H7" i="1"/>
  <c r="H8" i="1"/>
  <c r="H9" i="1"/>
  <c r="H10" i="1"/>
  <c r="H4" i="1"/>
  <c r="H5" i="1"/>
  <c r="H6" i="1"/>
  <c r="H2" i="1"/>
  <c r="H3" i="1"/>
  <c r="H63" i="1"/>
  <c r="H64" i="1"/>
  <c r="H65" i="1"/>
  <c r="H70" i="1"/>
  <c r="H71" i="1"/>
  <c r="H72" i="1"/>
  <c r="H73" i="1"/>
  <c r="H74" i="1"/>
  <c r="H119" i="1"/>
  <c r="H120" i="1"/>
  <c r="H121" i="1"/>
  <c r="H21" i="1"/>
  <c r="H22" i="1"/>
  <c r="H23" i="1"/>
  <c r="H36" i="1"/>
  <c r="H37" i="1"/>
  <c r="H38" i="1"/>
  <c r="H39" i="1"/>
  <c r="H13" i="1"/>
  <c r="H14" i="1"/>
  <c r="H15" i="1"/>
  <c r="H85" i="1"/>
  <c r="H86" i="1"/>
  <c r="H87" i="1"/>
  <c r="H88" i="1"/>
  <c r="H89" i="1"/>
  <c r="H90" i="1"/>
  <c r="H91" i="1"/>
  <c r="H56" i="1"/>
  <c r="H57" i="1"/>
  <c r="H58" i="1"/>
  <c r="H59" i="1"/>
  <c r="H29" i="1"/>
  <c r="H30" i="1"/>
  <c r="H31" i="1"/>
  <c r="H79" i="1"/>
  <c r="H80" i="1"/>
  <c r="H81" i="1"/>
  <c r="H82" i="1"/>
  <c r="H83" i="1"/>
  <c r="H84" i="1"/>
  <c r="H40" i="1"/>
  <c r="H41" i="1"/>
  <c r="H42" i="1"/>
  <c r="H19" i="1"/>
  <c r="H20" i="1"/>
  <c r="O112" i="1" a="1"/>
  <c r="O112" i="1" s="1"/>
  <c r="O113" i="1" a="1"/>
  <c r="O113" i="1" s="1"/>
  <c r="O114" i="1" a="1"/>
  <c r="O114" i="1" s="1"/>
  <c r="O115" i="1" a="1"/>
  <c r="O115" i="1" s="1"/>
  <c r="O116" i="1" a="1"/>
  <c r="O116" i="1" s="1"/>
  <c r="O117" i="1" a="1"/>
  <c r="O117" i="1" s="1"/>
  <c r="O118" i="1" a="1"/>
  <c r="O118" i="1" s="1"/>
  <c r="O92" i="1" a="1"/>
  <c r="O92" i="1" s="1"/>
  <c r="O93" i="1" a="1"/>
  <c r="O93" i="1" s="1"/>
  <c r="O94" i="1" a="1"/>
  <c r="O94" i="1" s="1"/>
  <c r="O95" i="1" a="1"/>
  <c r="O95" i="1" s="1"/>
  <c r="O96" i="1" a="1"/>
  <c r="O96" i="1" s="1"/>
  <c r="O97" i="1" a="1"/>
  <c r="O97" i="1" s="1"/>
  <c r="O98" i="1" a="1"/>
  <c r="O98" i="1" s="1"/>
  <c r="O49" i="1" a="1"/>
  <c r="O49" i="1" s="1"/>
  <c r="O50" i="1" a="1"/>
  <c r="O50" i="1" s="1"/>
  <c r="O51" i="1" a="1"/>
  <c r="O51" i="1" s="1"/>
  <c r="O52" i="1" a="1"/>
  <c r="O52" i="1" s="1"/>
  <c r="O53" i="1" a="1"/>
  <c r="O53" i="1" s="1"/>
  <c r="O54" i="1" a="1"/>
  <c r="O54" i="1" s="1"/>
  <c r="O55" i="1" a="1"/>
  <c r="O55" i="1" s="1"/>
  <c r="O75" i="1" a="1"/>
  <c r="O75" i="1" s="1"/>
  <c r="O76" i="1" a="1"/>
  <c r="O76" i="1" s="1"/>
  <c r="O77" i="1" a="1"/>
  <c r="O77" i="1" s="1"/>
  <c r="O78" i="1" a="1"/>
  <c r="O78" i="1" s="1"/>
  <c r="O16" i="1" a="1"/>
  <c r="O16" i="1" s="1"/>
  <c r="O17" i="1" a="1"/>
  <c r="O17" i="1" s="1"/>
  <c r="O18" i="1" a="1"/>
  <c r="O18" i="1" s="1"/>
  <c r="O24" i="1" a="1"/>
  <c r="O24" i="1" s="1"/>
  <c r="O25" i="1" a="1"/>
  <c r="O25" i="1" s="1"/>
  <c r="O26" i="1" a="1"/>
  <c r="O26" i="1" s="1"/>
  <c r="O11" i="1" a="1"/>
  <c r="O11" i="1" s="1"/>
  <c r="O12" i="1" a="1"/>
  <c r="O12" i="1" s="1"/>
  <c r="O99" i="1" a="1"/>
  <c r="O99" i="1" s="1"/>
  <c r="O100" i="1" a="1"/>
  <c r="O100" i="1" s="1"/>
  <c r="O101" i="1" a="1"/>
  <c r="O101" i="1" s="1"/>
  <c r="O102" i="1" a="1"/>
  <c r="O102" i="1" s="1"/>
  <c r="O103" i="1" a="1"/>
  <c r="O103" i="1" s="1"/>
  <c r="O104" i="1" a="1"/>
  <c r="O104" i="1" s="1"/>
  <c r="O32" i="1" a="1"/>
  <c r="O32" i="1" s="1"/>
  <c r="O33" i="1" a="1"/>
  <c r="O33" i="1" s="1"/>
  <c r="O34" i="1" a="1"/>
  <c r="O34" i="1" s="1"/>
  <c r="O35" i="1" a="1"/>
  <c r="O35" i="1" s="1"/>
  <c r="O60" i="1" a="1"/>
  <c r="O60" i="1" s="1"/>
  <c r="O61" i="1" a="1"/>
  <c r="O61" i="1" s="1"/>
  <c r="O62" i="1" a="1"/>
  <c r="O62" i="1" s="1"/>
  <c r="O27" i="1" a="1"/>
  <c r="O27" i="1" s="1"/>
  <c r="O28" i="1" a="1"/>
  <c r="O28" i="1" s="1"/>
  <c r="O105" i="1" a="1"/>
  <c r="O105" i="1" s="1"/>
  <c r="O106" i="1" a="1"/>
  <c r="O106" i="1" s="1"/>
  <c r="O107" i="1" a="1"/>
  <c r="O107" i="1" s="1"/>
  <c r="O108" i="1" a="1"/>
  <c r="O108" i="1" s="1"/>
  <c r="O109" i="1" a="1"/>
  <c r="O109" i="1" s="1"/>
  <c r="O110" i="1" a="1"/>
  <c r="O110" i="1" s="1"/>
  <c r="O111" i="1" a="1"/>
  <c r="O111" i="1" s="1"/>
  <c r="O43" i="1" a="1"/>
  <c r="O43" i="1" s="1"/>
  <c r="O44" i="1" a="1"/>
  <c r="O44" i="1" s="1"/>
  <c r="O45" i="1" a="1"/>
  <c r="O45" i="1" s="1"/>
  <c r="O46" i="1" a="1"/>
  <c r="O46" i="1" s="1"/>
  <c r="O47" i="1" a="1"/>
  <c r="O47" i="1" s="1"/>
  <c r="O48" i="1" a="1"/>
  <c r="O48" i="1" s="1"/>
  <c r="O66" i="1" a="1"/>
  <c r="O66" i="1" s="1"/>
  <c r="O67" i="1" a="1"/>
  <c r="O67" i="1" s="1"/>
  <c r="O68" i="1" a="1"/>
  <c r="O68" i="1" s="1"/>
  <c r="O69" i="1" a="1"/>
  <c r="O69" i="1" s="1"/>
  <c r="O7" i="1" a="1"/>
  <c r="O7" i="1" s="1"/>
  <c r="O8" i="1" a="1"/>
  <c r="O8" i="1" s="1"/>
  <c r="O9" i="1" a="1"/>
  <c r="O9" i="1" s="1"/>
  <c r="O10" i="1" a="1"/>
  <c r="O10" i="1" s="1"/>
  <c r="O4" i="1" a="1"/>
  <c r="O4" i="1" s="1"/>
  <c r="O5" i="1" a="1"/>
  <c r="O5" i="1" s="1"/>
  <c r="O6" i="1" a="1"/>
  <c r="O6" i="1" s="1"/>
  <c r="O2" i="1" a="1"/>
  <c r="O2" i="1" s="1"/>
  <c r="O3" i="1" a="1"/>
  <c r="O3" i="1" s="1"/>
  <c r="O63" i="1" a="1"/>
  <c r="O63" i="1" s="1"/>
  <c r="O64" i="1" a="1"/>
  <c r="O64" i="1" s="1"/>
  <c r="O65" i="1" a="1"/>
  <c r="O65" i="1" s="1"/>
  <c r="O70" i="1" a="1"/>
  <c r="O70" i="1" s="1"/>
  <c r="O71" i="1" a="1"/>
  <c r="O71" i="1" s="1"/>
  <c r="O72" i="1" a="1"/>
  <c r="O72" i="1" s="1"/>
  <c r="O73" i="1" a="1"/>
  <c r="O73" i="1" s="1"/>
  <c r="O74" i="1" a="1"/>
  <c r="O74" i="1" s="1"/>
  <c r="O119" i="1" a="1"/>
  <c r="O119" i="1" s="1"/>
  <c r="O120" i="1" a="1"/>
  <c r="O120" i="1" s="1"/>
  <c r="O121" i="1" a="1"/>
  <c r="O121" i="1" s="1"/>
  <c r="O21" i="1" a="1"/>
  <c r="O21" i="1" s="1"/>
  <c r="O22" i="1" a="1"/>
  <c r="O22" i="1" s="1"/>
  <c r="O23" i="1" a="1"/>
  <c r="O23" i="1" s="1"/>
  <c r="O36" i="1" a="1"/>
  <c r="O36" i="1" s="1"/>
  <c r="O37" i="1" a="1"/>
  <c r="O37" i="1" s="1"/>
  <c r="O38" i="1" a="1"/>
  <c r="O38" i="1" s="1"/>
  <c r="O39" i="1" a="1"/>
  <c r="O39" i="1" s="1"/>
  <c r="O13" i="1" a="1"/>
  <c r="O13" i="1" s="1"/>
  <c r="O14" i="1" a="1"/>
  <c r="O14" i="1" s="1"/>
  <c r="O15" i="1" a="1"/>
  <c r="O15" i="1" s="1"/>
  <c r="O85" i="1" a="1"/>
  <c r="O85" i="1" s="1"/>
  <c r="O86" i="1" a="1"/>
  <c r="O86" i="1" s="1"/>
  <c r="O87" i="1" a="1"/>
  <c r="O87" i="1" s="1"/>
  <c r="O88" i="1" a="1"/>
  <c r="O88" i="1" s="1"/>
  <c r="O89" i="1" a="1"/>
  <c r="O89" i="1" s="1"/>
  <c r="O90" i="1" a="1"/>
  <c r="O90" i="1" s="1"/>
  <c r="O91" i="1" a="1"/>
  <c r="O91" i="1" s="1"/>
  <c r="O56" i="1" a="1"/>
  <c r="O56" i="1" s="1"/>
  <c r="O57" i="1" a="1"/>
  <c r="O57" i="1" s="1"/>
  <c r="O58" i="1" a="1"/>
  <c r="O58" i="1" s="1"/>
  <c r="O59" i="1" a="1"/>
  <c r="O59" i="1" s="1"/>
  <c r="O29" i="1" a="1"/>
  <c r="O29" i="1" s="1"/>
  <c r="O30" i="1" a="1"/>
  <c r="O30" i="1" s="1"/>
  <c r="O31" i="1" a="1"/>
  <c r="O31" i="1" s="1"/>
  <c r="O79" i="1" a="1"/>
  <c r="O79" i="1" s="1"/>
  <c r="O80" i="1" a="1"/>
  <c r="O80" i="1" s="1"/>
  <c r="O81" i="1" a="1"/>
  <c r="O81" i="1" s="1"/>
  <c r="O82" i="1" a="1"/>
  <c r="O82" i="1" s="1"/>
  <c r="O83" i="1" a="1"/>
  <c r="O83" i="1" s="1"/>
  <c r="O84" i="1" a="1"/>
  <c r="O84" i="1" s="1"/>
  <c r="O40" i="1" a="1"/>
  <c r="O40" i="1" s="1"/>
  <c r="O41" i="1" a="1"/>
  <c r="O41" i="1" s="1"/>
  <c r="O42" i="1" a="1"/>
  <c r="O42" i="1" s="1"/>
  <c r="O19" i="1" a="1"/>
  <c r="O19" i="1" s="1"/>
  <c r="O20" i="1" a="1"/>
  <c r="O20" i="1" s="1"/>
  <c r="K112" i="1" a="1"/>
  <c r="K112" i="1" s="1"/>
  <c r="K113" i="1" a="1"/>
  <c r="K113" i="1" s="1"/>
  <c r="K114" i="1" a="1"/>
  <c r="K114" i="1" s="1"/>
  <c r="K115" i="1" a="1"/>
  <c r="K115" i="1" s="1"/>
  <c r="K116" i="1" a="1"/>
  <c r="K116" i="1" s="1"/>
  <c r="K117" i="1" a="1"/>
  <c r="K117" i="1" s="1"/>
  <c r="K118" i="1" a="1"/>
  <c r="K118" i="1" s="1"/>
  <c r="K92" i="1" a="1"/>
  <c r="K92" i="1" s="1"/>
  <c r="K93" i="1" a="1"/>
  <c r="K93" i="1" s="1"/>
  <c r="K94" i="1" a="1"/>
  <c r="K94" i="1" s="1"/>
  <c r="K95" i="1" a="1"/>
  <c r="K95" i="1" s="1"/>
  <c r="K96" i="1" a="1"/>
  <c r="K96" i="1" s="1"/>
  <c r="K97" i="1" a="1"/>
  <c r="K97" i="1" s="1"/>
  <c r="K98" i="1" a="1"/>
  <c r="K98" i="1" s="1"/>
  <c r="K49" i="1" a="1"/>
  <c r="K49" i="1" s="1"/>
  <c r="K50" i="1" a="1"/>
  <c r="K50" i="1" s="1"/>
  <c r="K51" i="1" a="1"/>
  <c r="K51" i="1" s="1"/>
  <c r="K52" i="1" a="1"/>
  <c r="K52" i="1" s="1"/>
  <c r="K53" i="1" a="1"/>
  <c r="K53" i="1" s="1"/>
  <c r="K54" i="1" a="1"/>
  <c r="K54" i="1" s="1"/>
  <c r="K55" i="1" a="1"/>
  <c r="K55" i="1" s="1"/>
  <c r="K75" i="1" a="1"/>
  <c r="K75" i="1" s="1"/>
  <c r="K76" i="1" a="1"/>
  <c r="K76" i="1" s="1"/>
  <c r="K77" i="1" a="1"/>
  <c r="K77" i="1" s="1"/>
  <c r="K78" i="1" a="1"/>
  <c r="K78" i="1" s="1"/>
  <c r="K16" i="1" a="1"/>
  <c r="K16" i="1" s="1"/>
  <c r="K17" i="1" a="1"/>
  <c r="K17" i="1" s="1"/>
  <c r="K18" i="1" a="1"/>
  <c r="K18" i="1" s="1"/>
  <c r="K24" i="1" a="1"/>
  <c r="K24" i="1" s="1"/>
  <c r="K25" i="1" a="1"/>
  <c r="K25" i="1" s="1"/>
  <c r="K26" i="1" a="1"/>
  <c r="K26" i="1" s="1"/>
  <c r="K11" i="1" a="1"/>
  <c r="K11" i="1" s="1"/>
  <c r="K12" i="1" a="1"/>
  <c r="K12" i="1" s="1"/>
  <c r="K99" i="1" a="1"/>
  <c r="K99" i="1" s="1"/>
  <c r="K100" i="1" a="1"/>
  <c r="K100" i="1" s="1"/>
  <c r="K101" i="1" a="1"/>
  <c r="K101" i="1" s="1"/>
  <c r="K102" i="1" a="1"/>
  <c r="K102" i="1" s="1"/>
  <c r="K103" i="1" a="1"/>
  <c r="K103" i="1" s="1"/>
  <c r="K104" i="1" a="1"/>
  <c r="K104" i="1" s="1"/>
  <c r="K32" i="1" a="1"/>
  <c r="K32" i="1" s="1"/>
  <c r="K33" i="1" a="1"/>
  <c r="K33" i="1" s="1"/>
  <c r="K34" i="1" a="1"/>
  <c r="K34" i="1" s="1"/>
  <c r="K35" i="1" a="1"/>
  <c r="K35" i="1" s="1"/>
  <c r="K60" i="1" a="1"/>
  <c r="K60" i="1" s="1"/>
  <c r="K61" i="1" a="1"/>
  <c r="K61" i="1" s="1"/>
  <c r="K62" i="1" a="1"/>
  <c r="K62" i="1" s="1"/>
  <c r="K27" i="1" a="1"/>
  <c r="K27" i="1" s="1"/>
  <c r="K28" i="1" a="1"/>
  <c r="K28" i="1" s="1"/>
  <c r="K105" i="1" a="1"/>
  <c r="K105" i="1" s="1"/>
  <c r="K106" i="1" a="1"/>
  <c r="K106" i="1" s="1"/>
  <c r="K107" i="1" a="1"/>
  <c r="K107" i="1" s="1"/>
  <c r="K108" i="1" a="1"/>
  <c r="K108" i="1" s="1"/>
  <c r="K109" i="1" a="1"/>
  <c r="K109" i="1" s="1"/>
  <c r="K110" i="1" a="1"/>
  <c r="K110" i="1" s="1"/>
  <c r="K111" i="1" a="1"/>
  <c r="K111" i="1" s="1"/>
  <c r="K43" i="1" a="1"/>
  <c r="K43" i="1" s="1"/>
  <c r="K44" i="1" a="1"/>
  <c r="K44" i="1" s="1"/>
  <c r="K45" i="1" a="1"/>
  <c r="K45" i="1" s="1"/>
  <c r="K46" i="1" a="1"/>
  <c r="K46" i="1" s="1"/>
  <c r="K47" i="1" a="1"/>
  <c r="K47" i="1" s="1"/>
  <c r="K48" i="1" a="1"/>
  <c r="K48" i="1" s="1"/>
  <c r="K66" i="1" a="1"/>
  <c r="K66" i="1" s="1"/>
  <c r="K67" i="1" a="1"/>
  <c r="K67" i="1" s="1"/>
  <c r="K68" i="1" a="1"/>
  <c r="K68" i="1" s="1"/>
  <c r="K69" i="1" a="1"/>
  <c r="K69" i="1" s="1"/>
  <c r="K7" i="1" a="1"/>
  <c r="K7" i="1" s="1"/>
  <c r="K8" i="1" a="1"/>
  <c r="K8" i="1" s="1"/>
  <c r="K9" i="1" a="1"/>
  <c r="K9" i="1" s="1"/>
  <c r="K10" i="1" a="1"/>
  <c r="K10" i="1" s="1"/>
  <c r="K4" i="1" a="1"/>
  <c r="K4" i="1" s="1"/>
  <c r="K5" i="1" a="1"/>
  <c r="K5" i="1" s="1"/>
  <c r="K6" i="1" a="1"/>
  <c r="K6" i="1" s="1"/>
  <c r="K2" i="1" a="1"/>
  <c r="K2" i="1" s="1"/>
  <c r="K3" i="1" a="1"/>
  <c r="K3" i="1" s="1"/>
  <c r="K63" i="1" a="1"/>
  <c r="K63" i="1" s="1"/>
  <c r="K64" i="1" a="1"/>
  <c r="K64" i="1" s="1"/>
  <c r="K65" i="1" a="1"/>
  <c r="K65" i="1" s="1"/>
  <c r="K70" i="1" a="1"/>
  <c r="K70" i="1" s="1"/>
  <c r="K71" i="1" a="1"/>
  <c r="K71" i="1" s="1"/>
  <c r="K72" i="1" a="1"/>
  <c r="K72" i="1" s="1"/>
  <c r="K73" i="1" a="1"/>
  <c r="K73" i="1" s="1"/>
  <c r="K74" i="1" a="1"/>
  <c r="K74" i="1" s="1"/>
  <c r="K119" i="1" a="1"/>
  <c r="K119" i="1" s="1"/>
  <c r="K120" i="1" a="1"/>
  <c r="K120" i="1" s="1"/>
  <c r="K121" i="1" a="1"/>
  <c r="K121" i="1" s="1"/>
  <c r="K21" i="1" a="1"/>
  <c r="K21" i="1" s="1"/>
  <c r="K22" i="1" a="1"/>
  <c r="K22" i="1" s="1"/>
  <c r="K23" i="1" a="1"/>
  <c r="K23" i="1" s="1"/>
  <c r="K36" i="1" a="1"/>
  <c r="K36" i="1" s="1"/>
  <c r="K37" i="1" a="1"/>
  <c r="K37" i="1" s="1"/>
  <c r="K38" i="1" a="1"/>
  <c r="K38" i="1" s="1"/>
  <c r="K39" i="1" a="1"/>
  <c r="K39" i="1" s="1"/>
  <c r="K13" i="1" a="1"/>
  <c r="K13" i="1" s="1"/>
  <c r="K14" i="1" a="1"/>
  <c r="K14" i="1" s="1"/>
  <c r="K15" i="1" a="1"/>
  <c r="K15" i="1" s="1"/>
  <c r="K85" i="1" a="1"/>
  <c r="K85" i="1" s="1"/>
  <c r="K86" i="1" a="1"/>
  <c r="K86" i="1" s="1"/>
  <c r="K87" i="1" a="1"/>
  <c r="K87" i="1" s="1"/>
  <c r="K88" i="1" a="1"/>
  <c r="K88" i="1" s="1"/>
  <c r="K89" i="1" a="1"/>
  <c r="K89" i="1" s="1"/>
  <c r="K90" i="1" a="1"/>
  <c r="K90" i="1" s="1"/>
  <c r="K91" i="1" a="1"/>
  <c r="K91" i="1" s="1"/>
  <c r="K56" i="1" a="1"/>
  <c r="K56" i="1" s="1"/>
  <c r="K57" i="1" a="1"/>
  <c r="K57" i="1" s="1"/>
  <c r="K58" i="1" a="1"/>
  <c r="K58" i="1" s="1"/>
  <c r="K59" i="1" a="1"/>
  <c r="K59" i="1" s="1"/>
  <c r="K29" i="1" a="1"/>
  <c r="K29" i="1" s="1"/>
  <c r="K30" i="1" a="1"/>
  <c r="K30" i="1" s="1"/>
  <c r="K31" i="1" a="1"/>
  <c r="K31" i="1" s="1"/>
  <c r="K79" i="1" a="1"/>
  <c r="K79" i="1" s="1"/>
  <c r="K80" i="1" a="1"/>
  <c r="K80" i="1" s="1"/>
  <c r="K81" i="1" a="1"/>
  <c r="K81" i="1" s="1"/>
  <c r="K82" i="1" a="1"/>
  <c r="K82" i="1" s="1"/>
  <c r="K83" i="1" a="1"/>
  <c r="K83" i="1" s="1"/>
  <c r="K84" i="1" a="1"/>
  <c r="K84" i="1" s="1"/>
  <c r="K40" i="1" a="1"/>
  <c r="K40" i="1" s="1"/>
  <c r="K41" i="1" a="1"/>
  <c r="K41" i="1" s="1"/>
  <c r="K42" i="1" a="1"/>
  <c r="K42" i="1" s="1"/>
  <c r="K19" i="1" a="1"/>
  <c r="K19" i="1" s="1"/>
  <c r="K20" i="1" a="1"/>
  <c r="K20" i="1" s="1"/>
  <c r="G112" i="1"/>
  <c r="G113" i="1"/>
  <c r="G114" i="1"/>
  <c r="G115" i="1"/>
  <c r="G116" i="1"/>
  <c r="G117" i="1"/>
  <c r="G118" i="1"/>
  <c r="G92" i="1"/>
  <c r="G93" i="1"/>
  <c r="G94" i="1"/>
  <c r="G95" i="1"/>
  <c r="G96" i="1"/>
  <c r="G97" i="1"/>
  <c r="G98" i="1"/>
  <c r="G49" i="1"/>
  <c r="G50" i="1"/>
  <c r="G51" i="1"/>
  <c r="G52" i="1"/>
  <c r="G53" i="1"/>
  <c r="G54" i="1"/>
  <c r="G55" i="1"/>
  <c r="G75" i="1"/>
  <c r="G76" i="1"/>
  <c r="G77" i="1"/>
  <c r="G78" i="1"/>
  <c r="G16" i="1"/>
  <c r="G17" i="1"/>
  <c r="G18" i="1"/>
  <c r="G24" i="1"/>
  <c r="G25" i="1"/>
  <c r="G26" i="1"/>
  <c r="G11" i="1"/>
  <c r="G12" i="1"/>
  <c r="G99" i="1"/>
  <c r="G100" i="1"/>
  <c r="G101" i="1"/>
  <c r="G102" i="1"/>
  <c r="G103" i="1"/>
  <c r="G104" i="1"/>
  <c r="G32" i="1"/>
  <c r="G33" i="1"/>
  <c r="G34" i="1"/>
  <c r="G35" i="1"/>
  <c r="G60" i="1"/>
  <c r="G61" i="1"/>
  <c r="G62" i="1"/>
  <c r="G27" i="1"/>
  <c r="G28" i="1"/>
  <c r="G105" i="1"/>
  <c r="G106" i="1"/>
  <c r="G107" i="1"/>
  <c r="G108" i="1"/>
  <c r="G109" i="1"/>
  <c r="G110" i="1"/>
  <c r="G111" i="1"/>
  <c r="G43" i="1"/>
  <c r="G44" i="1"/>
  <c r="G45" i="1"/>
  <c r="G46" i="1"/>
  <c r="G47" i="1"/>
  <c r="G48" i="1"/>
  <c r="G66" i="1"/>
  <c r="G67" i="1"/>
  <c r="G68" i="1"/>
  <c r="G69" i="1"/>
  <c r="G7" i="1"/>
  <c r="G8" i="1"/>
  <c r="G9" i="1"/>
  <c r="G10" i="1"/>
  <c r="G4" i="1"/>
  <c r="G5" i="1"/>
  <c r="G6" i="1"/>
  <c r="G2" i="1"/>
  <c r="G3" i="1"/>
  <c r="G63" i="1"/>
  <c r="G64" i="1"/>
  <c r="G65" i="1"/>
  <c r="G70" i="1"/>
  <c r="G71" i="1"/>
  <c r="G72" i="1"/>
  <c r="G73" i="1"/>
  <c r="G74" i="1"/>
  <c r="G119" i="1"/>
  <c r="G120" i="1"/>
  <c r="G121" i="1"/>
  <c r="G21" i="1"/>
  <c r="G22" i="1"/>
  <c r="G23" i="1"/>
  <c r="G36" i="1"/>
  <c r="G37" i="1"/>
  <c r="G38" i="1"/>
  <c r="G39" i="1"/>
  <c r="G13" i="1"/>
  <c r="G14" i="1"/>
  <c r="G15" i="1"/>
  <c r="G85" i="1"/>
  <c r="G86" i="1"/>
  <c r="G87" i="1"/>
  <c r="G88" i="1"/>
  <c r="G89" i="1"/>
  <c r="G90" i="1"/>
  <c r="G91" i="1"/>
  <c r="G56" i="1"/>
  <c r="G57" i="1"/>
  <c r="G58" i="1"/>
  <c r="G59" i="1"/>
  <c r="G29" i="1"/>
  <c r="G30" i="1"/>
  <c r="G31" i="1"/>
  <c r="G79" i="1"/>
  <c r="G80" i="1"/>
  <c r="G81" i="1"/>
  <c r="G82" i="1"/>
  <c r="G83" i="1"/>
  <c r="G84" i="1"/>
  <c r="G40" i="1"/>
  <c r="G41" i="1"/>
  <c r="G42" i="1"/>
  <c r="G19" i="1"/>
  <c r="G20" i="1"/>
  <c r="AB112" i="1"/>
  <c r="AB113" i="1"/>
  <c r="AB114" i="1"/>
  <c r="AB115" i="1"/>
  <c r="AB116" i="1"/>
  <c r="AB117" i="1"/>
  <c r="AB118" i="1"/>
  <c r="AB92" i="1"/>
  <c r="AB93" i="1"/>
  <c r="AB94" i="1"/>
  <c r="AB95" i="1"/>
  <c r="AB96" i="1"/>
  <c r="AB97" i="1"/>
  <c r="AB98" i="1"/>
  <c r="AB49" i="1"/>
  <c r="AB50" i="1"/>
  <c r="AB51" i="1"/>
  <c r="AB52" i="1"/>
  <c r="AB53" i="1"/>
  <c r="AB54" i="1"/>
  <c r="AB55" i="1"/>
  <c r="AB75" i="1"/>
  <c r="AB76" i="1"/>
  <c r="AB77" i="1"/>
  <c r="AB78" i="1"/>
  <c r="AB16" i="1"/>
  <c r="AB17" i="1"/>
  <c r="AB18" i="1"/>
  <c r="AB24" i="1"/>
  <c r="AB25" i="1"/>
  <c r="AB26" i="1"/>
  <c r="AB11" i="1"/>
  <c r="AB12" i="1"/>
  <c r="AB99" i="1"/>
  <c r="AB100" i="1"/>
  <c r="AB101" i="1"/>
  <c r="AB102" i="1"/>
  <c r="AB103" i="1"/>
  <c r="AB104" i="1"/>
  <c r="AB32" i="1"/>
  <c r="AB33" i="1"/>
  <c r="AB34" i="1"/>
  <c r="AB35" i="1"/>
  <c r="AB60" i="1"/>
  <c r="AB61" i="1"/>
  <c r="AB62" i="1"/>
  <c r="AB27" i="1"/>
  <c r="AB28" i="1"/>
  <c r="AB105" i="1"/>
  <c r="AB106" i="1"/>
  <c r="AB107" i="1"/>
  <c r="AB108" i="1"/>
  <c r="AB109" i="1"/>
  <c r="AB110" i="1"/>
  <c r="AB111" i="1"/>
  <c r="AB43" i="1"/>
  <c r="AB44" i="1"/>
  <c r="AB45" i="1"/>
  <c r="AB46" i="1"/>
  <c r="AB47" i="1"/>
  <c r="AB48" i="1"/>
  <c r="AB66" i="1"/>
  <c r="AB67" i="1"/>
  <c r="AB68" i="1"/>
  <c r="AB69" i="1"/>
  <c r="AB7" i="1"/>
  <c r="AB8" i="1"/>
  <c r="AB9" i="1"/>
  <c r="AB10" i="1"/>
  <c r="AB4" i="1"/>
  <c r="AB5" i="1"/>
  <c r="AB6" i="1"/>
  <c r="AB2" i="1"/>
  <c r="AB3" i="1"/>
  <c r="AB63" i="1"/>
  <c r="AB64" i="1"/>
  <c r="AB65" i="1"/>
  <c r="AB70" i="1"/>
  <c r="AB71" i="1"/>
  <c r="AB72" i="1"/>
  <c r="AB73" i="1"/>
  <c r="AB74" i="1"/>
  <c r="AB119" i="1"/>
  <c r="AB120" i="1"/>
  <c r="AB121" i="1"/>
  <c r="AB21" i="1"/>
  <c r="AB22" i="1"/>
  <c r="AB23" i="1"/>
  <c r="AB36" i="1"/>
  <c r="AB37" i="1"/>
  <c r="AB38" i="1"/>
  <c r="AB39" i="1"/>
  <c r="AB13" i="1"/>
  <c r="AB14" i="1"/>
  <c r="AB15" i="1"/>
  <c r="AB85" i="1"/>
  <c r="AB86" i="1"/>
  <c r="AB87" i="1"/>
  <c r="AB88" i="1"/>
  <c r="AB89" i="1"/>
  <c r="AB90" i="1"/>
  <c r="AB91" i="1"/>
  <c r="AB56" i="1"/>
  <c r="AB57" i="1"/>
  <c r="AB58" i="1"/>
  <c r="AB59" i="1"/>
  <c r="AB29" i="1"/>
  <c r="AB30" i="1"/>
  <c r="AB31" i="1"/>
  <c r="AB79" i="1"/>
  <c r="AB80" i="1"/>
  <c r="AB81" i="1"/>
  <c r="AB82" i="1"/>
  <c r="AB83" i="1"/>
  <c r="AB84" i="1"/>
  <c r="AB40" i="1"/>
  <c r="AB41" i="1"/>
  <c r="AB42" i="1"/>
  <c r="AB19" i="1"/>
  <c r="AB20" i="1"/>
  <c r="X112" i="1"/>
  <c r="X113" i="1"/>
  <c r="X114" i="1"/>
  <c r="X115" i="1"/>
  <c r="X116" i="1"/>
  <c r="X117" i="1"/>
  <c r="X118" i="1"/>
  <c r="X92" i="1"/>
  <c r="X93" i="1"/>
  <c r="X94" i="1"/>
  <c r="X95" i="1"/>
  <c r="X96" i="1"/>
  <c r="X97" i="1"/>
  <c r="X98" i="1"/>
  <c r="X49" i="1"/>
  <c r="X50" i="1"/>
  <c r="X51" i="1"/>
  <c r="X52" i="1"/>
  <c r="X53" i="1"/>
  <c r="X54" i="1"/>
  <c r="X55" i="1"/>
  <c r="X75" i="1"/>
  <c r="X76" i="1"/>
  <c r="X77" i="1"/>
  <c r="X78" i="1"/>
  <c r="X16" i="1"/>
  <c r="X17" i="1"/>
  <c r="X18" i="1"/>
  <c r="X24" i="1"/>
  <c r="X25" i="1"/>
  <c r="X26" i="1"/>
  <c r="X11" i="1"/>
  <c r="X12" i="1"/>
  <c r="X99" i="1"/>
  <c r="X100" i="1"/>
  <c r="X101" i="1"/>
  <c r="X102" i="1"/>
  <c r="X103" i="1"/>
  <c r="X104" i="1"/>
  <c r="X32" i="1"/>
  <c r="X33" i="1"/>
  <c r="X34" i="1"/>
  <c r="X35" i="1"/>
  <c r="X60" i="1"/>
  <c r="X61" i="1"/>
  <c r="X62" i="1"/>
  <c r="X27" i="1"/>
  <c r="X28" i="1"/>
  <c r="X105" i="1"/>
  <c r="X106" i="1"/>
  <c r="X107" i="1"/>
  <c r="X108" i="1"/>
  <c r="X109" i="1"/>
  <c r="X110" i="1"/>
  <c r="X111" i="1"/>
  <c r="X43" i="1"/>
  <c r="X44" i="1"/>
  <c r="X45" i="1"/>
  <c r="X46" i="1"/>
  <c r="X47" i="1"/>
  <c r="X48" i="1"/>
  <c r="X66" i="1"/>
  <c r="X67" i="1"/>
  <c r="X68" i="1"/>
  <c r="X69" i="1"/>
  <c r="X7" i="1"/>
  <c r="X8" i="1"/>
  <c r="X9" i="1"/>
  <c r="X10" i="1"/>
  <c r="X4" i="1"/>
  <c r="X5" i="1"/>
  <c r="X6" i="1"/>
  <c r="X2" i="1"/>
  <c r="X3" i="1"/>
  <c r="X63" i="1"/>
  <c r="X64" i="1"/>
  <c r="X65" i="1"/>
  <c r="X70" i="1"/>
  <c r="X71" i="1"/>
  <c r="X72" i="1"/>
  <c r="X73" i="1"/>
  <c r="X74" i="1"/>
  <c r="X119" i="1"/>
  <c r="X120" i="1"/>
  <c r="X121" i="1"/>
  <c r="X21" i="1"/>
  <c r="X22" i="1"/>
  <c r="X23" i="1"/>
  <c r="X36" i="1"/>
  <c r="X37" i="1"/>
  <c r="X38" i="1"/>
  <c r="X39" i="1"/>
  <c r="X13" i="1"/>
  <c r="X14" i="1"/>
  <c r="X15" i="1"/>
  <c r="X85" i="1"/>
  <c r="X86" i="1"/>
  <c r="X87" i="1"/>
  <c r="X88" i="1"/>
  <c r="X89" i="1"/>
  <c r="X90" i="1"/>
  <c r="X91" i="1"/>
  <c r="X56" i="1"/>
  <c r="X57" i="1"/>
  <c r="X58" i="1"/>
  <c r="X59" i="1"/>
  <c r="X29" i="1"/>
  <c r="X30" i="1"/>
  <c r="X31" i="1"/>
  <c r="X79" i="1"/>
  <c r="X80" i="1"/>
  <c r="X81" i="1"/>
  <c r="X82" i="1"/>
  <c r="X83" i="1"/>
  <c r="X84" i="1"/>
  <c r="X40" i="1"/>
  <c r="X41" i="1"/>
  <c r="X42" i="1"/>
  <c r="X19" i="1"/>
  <c r="X20" i="1"/>
  <c r="T113" i="1"/>
  <c r="T114" i="1"/>
  <c r="T115" i="1"/>
  <c r="T116" i="1"/>
  <c r="T117" i="1"/>
  <c r="T118" i="1"/>
  <c r="T92" i="1"/>
  <c r="T93" i="1"/>
  <c r="T94" i="1"/>
  <c r="T95" i="1"/>
  <c r="T96" i="1"/>
  <c r="T97" i="1"/>
  <c r="T98" i="1"/>
  <c r="T49" i="1"/>
  <c r="T50" i="1"/>
  <c r="T51" i="1"/>
  <c r="T52" i="1"/>
  <c r="T53" i="1"/>
  <c r="T54" i="1"/>
  <c r="T55" i="1"/>
  <c r="T75" i="1"/>
  <c r="T76" i="1"/>
  <c r="T77" i="1"/>
  <c r="T78" i="1"/>
  <c r="T16" i="1"/>
  <c r="T17" i="1"/>
  <c r="T18" i="1"/>
  <c r="T24" i="1"/>
  <c r="T25" i="1"/>
  <c r="T26" i="1"/>
  <c r="T11" i="1"/>
  <c r="T12" i="1"/>
  <c r="T99" i="1"/>
  <c r="T100" i="1"/>
  <c r="T101" i="1"/>
  <c r="T102" i="1"/>
  <c r="T103" i="1"/>
  <c r="T104" i="1"/>
  <c r="T32" i="1"/>
  <c r="T33" i="1"/>
  <c r="T34" i="1"/>
  <c r="T35" i="1"/>
  <c r="T60" i="1"/>
  <c r="T61" i="1"/>
  <c r="T62" i="1"/>
  <c r="T27" i="1"/>
  <c r="T28" i="1"/>
  <c r="T105" i="1"/>
  <c r="T106" i="1"/>
  <c r="T107" i="1"/>
  <c r="T108" i="1"/>
  <c r="T109" i="1"/>
  <c r="T110" i="1"/>
  <c r="T111" i="1"/>
  <c r="T43" i="1"/>
  <c r="T44" i="1"/>
  <c r="T45" i="1"/>
  <c r="T46" i="1"/>
  <c r="T47" i="1"/>
  <c r="T48" i="1"/>
  <c r="T66" i="1"/>
  <c r="T67" i="1"/>
  <c r="T68" i="1"/>
  <c r="T69" i="1"/>
  <c r="T7" i="1"/>
  <c r="T8" i="1"/>
  <c r="T9" i="1"/>
  <c r="T10" i="1"/>
  <c r="T4" i="1"/>
  <c r="T5" i="1"/>
  <c r="T6" i="1"/>
  <c r="T2" i="1"/>
  <c r="T3" i="1"/>
  <c r="T63" i="1"/>
  <c r="T64" i="1"/>
  <c r="T65" i="1"/>
  <c r="T70" i="1"/>
  <c r="T71" i="1"/>
  <c r="T72" i="1"/>
  <c r="T73" i="1"/>
  <c r="T74" i="1"/>
  <c r="T119" i="1"/>
  <c r="T120" i="1"/>
  <c r="T121" i="1"/>
  <c r="T21" i="1"/>
  <c r="T22" i="1"/>
  <c r="T23" i="1"/>
  <c r="T36" i="1"/>
  <c r="T37" i="1"/>
  <c r="T38" i="1"/>
  <c r="T39" i="1"/>
  <c r="T13" i="1"/>
  <c r="T14" i="1"/>
  <c r="T15" i="1"/>
  <c r="T85" i="1"/>
  <c r="T86" i="1"/>
  <c r="T87" i="1"/>
  <c r="T88" i="1"/>
  <c r="T89" i="1"/>
  <c r="T90" i="1"/>
  <c r="T91" i="1"/>
  <c r="T56" i="1"/>
  <c r="T57" i="1"/>
  <c r="T58" i="1"/>
  <c r="T59" i="1"/>
  <c r="T29" i="1"/>
  <c r="T30" i="1"/>
  <c r="T31" i="1"/>
  <c r="T79" i="1"/>
  <c r="T80" i="1"/>
  <c r="T81" i="1"/>
  <c r="T82" i="1"/>
  <c r="T83" i="1"/>
  <c r="T84" i="1"/>
  <c r="T40" i="1"/>
  <c r="T41" i="1"/>
  <c r="T42" i="1"/>
  <c r="T19" i="1"/>
  <c r="T20" i="1"/>
  <c r="AG9" i="1" a="1"/>
  <c r="AG9" i="1" s="1"/>
  <c r="AH9" i="1" s="1"/>
  <c r="M42" i="1" l="1"/>
  <c r="V20" i="1"/>
  <c r="M19" i="1"/>
  <c r="I94" i="1"/>
  <c r="M31" i="1"/>
  <c r="M86" i="1"/>
  <c r="M121" i="1"/>
  <c r="M6" i="1"/>
  <c r="M48" i="1"/>
  <c r="M112" i="1"/>
  <c r="I41" i="1"/>
  <c r="I13" i="1"/>
  <c r="I10" i="1"/>
  <c r="I61" i="1"/>
  <c r="I55" i="1"/>
  <c r="M59" i="1"/>
  <c r="M74" i="1"/>
  <c r="M45" i="1"/>
  <c r="M99" i="1"/>
  <c r="M94" i="1"/>
  <c r="I57" i="1"/>
  <c r="I72" i="1"/>
  <c r="I43" i="1"/>
  <c r="I54" i="1"/>
  <c r="I53" i="1"/>
  <c r="I81" i="1"/>
  <c r="I89" i="1"/>
  <c r="I23" i="1"/>
  <c r="I64" i="1"/>
  <c r="I68" i="1"/>
  <c r="I108" i="1"/>
  <c r="I32" i="1"/>
  <c r="I115" i="1"/>
  <c r="M81" i="1"/>
  <c r="M64" i="1"/>
  <c r="M32" i="1"/>
  <c r="M115" i="1"/>
  <c r="I106" i="1"/>
  <c r="M80" i="1"/>
  <c r="M22" i="1"/>
  <c r="M67" i="1"/>
  <c r="M17" i="1"/>
  <c r="M49" i="1"/>
  <c r="M101" i="1"/>
  <c r="I86" i="1"/>
  <c r="I2" i="1"/>
  <c r="I105" i="1"/>
  <c r="I78" i="1"/>
  <c r="I97" i="1"/>
  <c r="I20" i="1"/>
  <c r="I30" i="1"/>
  <c r="I85" i="1"/>
  <c r="I120" i="1"/>
  <c r="I6" i="1"/>
  <c r="I47" i="1"/>
  <c r="I28" i="1"/>
  <c r="I101" i="1"/>
  <c r="I77" i="1"/>
  <c r="I96" i="1"/>
  <c r="M2" i="1"/>
  <c r="M78" i="1"/>
  <c r="I73" i="1"/>
  <c r="I44" i="1"/>
  <c r="I93" i="1"/>
  <c r="M14" i="1"/>
  <c r="M62" i="1"/>
  <c r="M75" i="1"/>
  <c r="I92" i="1"/>
  <c r="I18" i="1"/>
  <c r="M90" i="1"/>
  <c r="M65" i="1"/>
  <c r="M109" i="1"/>
  <c r="M33" i="1"/>
  <c r="M116" i="1"/>
  <c r="I80" i="1"/>
  <c r="I22" i="1"/>
  <c r="I49" i="1"/>
  <c r="M89" i="1"/>
  <c r="M108" i="1"/>
  <c r="M50" i="1"/>
  <c r="M28" i="1"/>
  <c r="I79" i="1"/>
  <c r="I87" i="1"/>
  <c r="I21" i="1"/>
  <c r="I3" i="1"/>
  <c r="I66" i="1"/>
  <c r="I103" i="1"/>
  <c r="I16" i="1"/>
  <c r="I113" i="1"/>
  <c r="M88" i="1"/>
  <c r="M63" i="1"/>
  <c r="M104" i="1"/>
  <c r="M114" i="1"/>
  <c r="I31" i="1"/>
  <c r="I121" i="1"/>
  <c r="I48" i="1"/>
  <c r="I102" i="1"/>
  <c r="I112" i="1"/>
  <c r="I19" i="1"/>
  <c r="I29" i="1"/>
  <c r="I15" i="1"/>
  <c r="I119" i="1"/>
  <c r="I5" i="1"/>
  <c r="I46" i="1"/>
  <c r="I27" i="1"/>
  <c r="I100" i="1"/>
  <c r="I76" i="1"/>
  <c r="I95" i="1"/>
  <c r="M105" i="1"/>
  <c r="M102" i="1"/>
  <c r="M97" i="1"/>
  <c r="I58" i="1"/>
  <c r="I12" i="1"/>
  <c r="M4" i="1"/>
  <c r="I40" i="1"/>
  <c r="I39" i="1"/>
  <c r="I9" i="1"/>
  <c r="I60" i="1"/>
  <c r="I11" i="1"/>
  <c r="M20" i="1"/>
  <c r="I84" i="1"/>
  <c r="I56" i="1"/>
  <c r="I38" i="1"/>
  <c r="I71" i="1"/>
  <c r="I8" i="1"/>
  <c r="I111" i="1"/>
  <c r="I35" i="1"/>
  <c r="I26" i="1"/>
  <c r="I118" i="1"/>
  <c r="I83" i="1"/>
  <c r="I91" i="1"/>
  <c r="I37" i="1"/>
  <c r="I70" i="1"/>
  <c r="I7" i="1"/>
  <c r="I110" i="1"/>
  <c r="I34" i="1"/>
  <c r="I25" i="1"/>
  <c r="I52" i="1"/>
  <c r="I117" i="1"/>
  <c r="M120" i="1"/>
  <c r="I82" i="1"/>
  <c r="I90" i="1"/>
  <c r="I36" i="1"/>
  <c r="I65" i="1"/>
  <c r="I69" i="1"/>
  <c r="I109" i="1"/>
  <c r="I33" i="1"/>
  <c r="I24" i="1"/>
  <c r="I51" i="1"/>
  <c r="I116" i="1"/>
  <c r="I50" i="1"/>
  <c r="M82" i="1"/>
  <c r="M36" i="1"/>
  <c r="M69" i="1"/>
  <c r="M24" i="1"/>
  <c r="M51" i="1"/>
  <c r="M47" i="1"/>
  <c r="I88" i="1"/>
  <c r="I63" i="1"/>
  <c r="I67" i="1"/>
  <c r="I107" i="1"/>
  <c r="I104" i="1"/>
  <c r="I17" i="1"/>
  <c r="I114" i="1"/>
  <c r="M23" i="1"/>
  <c r="M68" i="1"/>
  <c r="M18" i="1"/>
  <c r="I98" i="1"/>
  <c r="M107" i="1"/>
  <c r="M79" i="1"/>
  <c r="M85" i="1"/>
  <c r="I42" i="1"/>
  <c r="I59" i="1"/>
  <c r="I14" i="1"/>
  <c r="I74" i="1"/>
  <c r="I4" i="1"/>
  <c r="I45" i="1"/>
  <c r="I62" i="1"/>
  <c r="I99" i="1"/>
  <c r="I75" i="1"/>
  <c r="M84" i="1"/>
  <c r="M41" i="1"/>
  <c r="M56" i="1"/>
  <c r="M58" i="1"/>
  <c r="M38" i="1"/>
  <c r="M13" i="1"/>
  <c r="M71" i="1"/>
  <c r="M73" i="1"/>
  <c r="M8" i="1"/>
  <c r="M10" i="1"/>
  <c r="M111" i="1"/>
  <c r="M44" i="1"/>
  <c r="M35" i="1"/>
  <c r="M61" i="1"/>
  <c r="M26" i="1"/>
  <c r="M12" i="1"/>
  <c r="M53" i="1"/>
  <c r="M55" i="1"/>
  <c r="M118" i="1"/>
  <c r="M93" i="1"/>
  <c r="M30" i="1"/>
  <c r="M83" i="1"/>
  <c r="M91" i="1"/>
  <c r="M37" i="1"/>
  <c r="M70" i="1"/>
  <c r="M7" i="1"/>
  <c r="M110" i="1"/>
  <c r="M34" i="1"/>
  <c r="M25" i="1"/>
  <c r="M52" i="1"/>
  <c r="M117" i="1"/>
  <c r="M87" i="1"/>
  <c r="M21" i="1"/>
  <c r="M3" i="1"/>
  <c r="M66" i="1"/>
  <c r="M106" i="1"/>
  <c r="M103" i="1"/>
  <c r="M16" i="1"/>
  <c r="M98" i="1"/>
  <c r="M113" i="1"/>
  <c r="R112" i="1"/>
  <c r="R15" i="1"/>
  <c r="M77" i="1"/>
  <c r="M96" i="1"/>
  <c r="R113" i="1"/>
  <c r="M15" i="1"/>
  <c r="M119" i="1"/>
  <c r="M5" i="1"/>
  <c r="M46" i="1"/>
  <c r="M27" i="1"/>
  <c r="M100" i="1"/>
  <c r="M95" i="1"/>
  <c r="R77" i="1"/>
  <c r="R29" i="1"/>
  <c r="M29" i="1"/>
  <c r="M76" i="1"/>
  <c r="R85" i="1"/>
  <c r="M40" i="1"/>
  <c r="M57" i="1"/>
  <c r="M39" i="1"/>
  <c r="M72" i="1"/>
  <c r="M9" i="1"/>
  <c r="M43" i="1"/>
  <c r="M60" i="1"/>
  <c r="M11" i="1"/>
  <c r="M54" i="1"/>
  <c r="M92" i="1"/>
  <c r="R55" i="1"/>
  <c r="R120" i="1"/>
  <c r="R54" i="1"/>
  <c r="R119" i="1"/>
  <c r="R53" i="1"/>
  <c r="R6" i="1"/>
  <c r="R52" i="1"/>
  <c r="R47" i="1"/>
  <c r="R18" i="1"/>
  <c r="R28" i="1"/>
  <c r="R115" i="1"/>
  <c r="R101" i="1"/>
  <c r="R20" i="1"/>
  <c r="R95" i="1"/>
  <c r="R100" i="1"/>
  <c r="R27" i="1"/>
  <c r="R46" i="1"/>
  <c r="R5" i="1"/>
  <c r="R19" i="1"/>
  <c r="R76" i="1"/>
  <c r="R75" i="1"/>
  <c r="R30" i="1"/>
  <c r="R96" i="1"/>
  <c r="R42" i="1"/>
  <c r="R14" i="1"/>
  <c r="R74" i="1"/>
  <c r="R4" i="1"/>
  <c r="R45" i="1"/>
  <c r="R62" i="1"/>
  <c r="R99" i="1"/>
  <c r="R94" i="1"/>
  <c r="R41" i="1"/>
  <c r="R58" i="1"/>
  <c r="R13" i="1"/>
  <c r="R73" i="1"/>
  <c r="R10" i="1"/>
  <c r="R44" i="1"/>
  <c r="R61" i="1"/>
  <c r="R12" i="1"/>
  <c r="R93" i="1"/>
  <c r="R40" i="1"/>
  <c r="R57" i="1"/>
  <c r="R39" i="1"/>
  <c r="R72" i="1"/>
  <c r="R9" i="1"/>
  <c r="R43" i="1"/>
  <c r="R60" i="1"/>
  <c r="R11" i="1"/>
  <c r="R92" i="1"/>
  <c r="R56" i="1"/>
  <c r="R38" i="1"/>
  <c r="R71" i="1"/>
  <c r="R111" i="1"/>
  <c r="R35" i="1"/>
  <c r="R26" i="1"/>
  <c r="R118" i="1"/>
  <c r="R83" i="1"/>
  <c r="R91" i="1"/>
  <c r="R37" i="1"/>
  <c r="R70" i="1"/>
  <c r="R7" i="1"/>
  <c r="R110" i="1"/>
  <c r="R34" i="1"/>
  <c r="R25" i="1"/>
  <c r="R117" i="1"/>
  <c r="R82" i="1"/>
  <c r="R90" i="1"/>
  <c r="R36" i="1"/>
  <c r="R65" i="1"/>
  <c r="R69" i="1"/>
  <c r="R109" i="1"/>
  <c r="R33" i="1"/>
  <c r="R24" i="1"/>
  <c r="R116" i="1"/>
  <c r="R81" i="1"/>
  <c r="R89" i="1"/>
  <c r="R23" i="1"/>
  <c r="R64" i="1"/>
  <c r="R68" i="1"/>
  <c r="R108" i="1"/>
  <c r="R32" i="1"/>
  <c r="R50" i="1"/>
  <c r="R80" i="1"/>
  <c r="R88" i="1"/>
  <c r="R22" i="1"/>
  <c r="R63" i="1"/>
  <c r="R67" i="1"/>
  <c r="R107" i="1"/>
  <c r="R104" i="1"/>
  <c r="R17" i="1"/>
  <c r="R49" i="1"/>
  <c r="R114" i="1"/>
  <c r="R79" i="1"/>
  <c r="R87" i="1"/>
  <c r="R21" i="1"/>
  <c r="R3" i="1"/>
  <c r="R66" i="1"/>
  <c r="R106" i="1"/>
  <c r="R103" i="1"/>
  <c r="R16" i="1"/>
  <c r="R98" i="1"/>
  <c r="R59" i="1"/>
  <c r="R84" i="1"/>
  <c r="R8" i="1"/>
  <c r="R51" i="1"/>
  <c r="R31" i="1"/>
  <c r="R86" i="1"/>
  <c r="R121" i="1"/>
  <c r="R2" i="1"/>
  <c r="R48" i="1"/>
  <c r="R105" i="1"/>
  <c r="R102" i="1"/>
  <c r="R78" i="1"/>
  <c r="R97" i="1"/>
  <c r="AD96" i="1"/>
  <c r="AD76" i="1"/>
  <c r="AD51" i="1"/>
  <c r="AD53" i="1"/>
  <c r="AD52" i="1"/>
  <c r="AD115" i="1"/>
  <c r="AD114" i="1"/>
  <c r="AD112" i="1"/>
  <c r="AD28" i="1"/>
  <c r="AD95" i="1"/>
  <c r="AD47" i="1"/>
  <c r="AD19" i="1"/>
  <c r="AD15" i="1"/>
  <c r="AD5" i="1"/>
  <c r="AD100" i="1"/>
  <c r="AD75" i="1"/>
  <c r="AD30" i="1"/>
  <c r="AD6" i="1"/>
  <c r="AD77" i="1"/>
  <c r="AD29" i="1"/>
  <c r="AD119" i="1"/>
  <c r="AD46" i="1"/>
  <c r="AD27" i="1"/>
  <c r="AD42" i="1"/>
  <c r="AD59" i="1"/>
  <c r="AD14" i="1"/>
  <c r="AD74" i="1"/>
  <c r="AD4" i="1"/>
  <c r="AD45" i="1"/>
  <c r="AD62" i="1"/>
  <c r="AD99" i="1"/>
  <c r="AD94" i="1"/>
  <c r="Z45" i="1"/>
  <c r="V41" i="1"/>
  <c r="V58" i="1"/>
  <c r="V73" i="1"/>
  <c r="AD41" i="1"/>
  <c r="AD58" i="1"/>
  <c r="AD13" i="1"/>
  <c r="AD73" i="1"/>
  <c r="AD10" i="1"/>
  <c r="AD44" i="1"/>
  <c r="AD61" i="1"/>
  <c r="AD12" i="1"/>
  <c r="AD55" i="1"/>
  <c r="AD93" i="1"/>
  <c r="Z44" i="1"/>
  <c r="AD40" i="1"/>
  <c r="AD57" i="1"/>
  <c r="AD39" i="1"/>
  <c r="AD72" i="1"/>
  <c r="AD9" i="1"/>
  <c r="AD43" i="1"/>
  <c r="AD60" i="1"/>
  <c r="AD11" i="1"/>
  <c r="AD54" i="1"/>
  <c r="AD92" i="1"/>
  <c r="AD20" i="1"/>
  <c r="AD85" i="1"/>
  <c r="AD101" i="1"/>
  <c r="AD56" i="1"/>
  <c r="AD38" i="1"/>
  <c r="AD71" i="1"/>
  <c r="AD111" i="1"/>
  <c r="AD35" i="1"/>
  <c r="AD26" i="1"/>
  <c r="AD118" i="1"/>
  <c r="AD83" i="1"/>
  <c r="AD91" i="1"/>
  <c r="AD37" i="1"/>
  <c r="AD70" i="1"/>
  <c r="AD7" i="1"/>
  <c r="AD110" i="1"/>
  <c r="AD34" i="1"/>
  <c r="AD25" i="1"/>
  <c r="AD117" i="1"/>
  <c r="AD82" i="1"/>
  <c r="AD90" i="1"/>
  <c r="AD36" i="1"/>
  <c r="AD65" i="1"/>
  <c r="AD69" i="1"/>
  <c r="AD109" i="1"/>
  <c r="AD33" i="1"/>
  <c r="AD24" i="1"/>
  <c r="AD116" i="1"/>
  <c r="AD81" i="1"/>
  <c r="AD89" i="1"/>
  <c r="AD64" i="1"/>
  <c r="AD68" i="1"/>
  <c r="AD32" i="1"/>
  <c r="AD50" i="1"/>
  <c r="AD80" i="1"/>
  <c r="AD88" i="1"/>
  <c r="AD22" i="1"/>
  <c r="AD63" i="1"/>
  <c r="AD67" i="1"/>
  <c r="AD107" i="1"/>
  <c r="AD104" i="1"/>
  <c r="AD17" i="1"/>
  <c r="AD49" i="1"/>
  <c r="AD79" i="1"/>
  <c r="AD87" i="1"/>
  <c r="AD21" i="1"/>
  <c r="AD3" i="1"/>
  <c r="AD66" i="1"/>
  <c r="AD106" i="1"/>
  <c r="AD103" i="1"/>
  <c r="AD16" i="1"/>
  <c r="AD98" i="1"/>
  <c r="AD113" i="1"/>
  <c r="AD120" i="1"/>
  <c r="AD84" i="1"/>
  <c r="AD8" i="1"/>
  <c r="AD23" i="1"/>
  <c r="AD108" i="1"/>
  <c r="AD18" i="1"/>
  <c r="AD31" i="1"/>
  <c r="AD86" i="1"/>
  <c r="AD121" i="1"/>
  <c r="AD2" i="1"/>
  <c r="AD48" i="1"/>
  <c r="AD105" i="1"/>
  <c r="AD102" i="1"/>
  <c r="AD78" i="1"/>
  <c r="AD97" i="1"/>
  <c r="Z120" i="1"/>
  <c r="V57" i="1"/>
  <c r="V9" i="1"/>
  <c r="V53" i="1"/>
  <c r="Z119" i="1"/>
  <c r="Z53" i="1"/>
  <c r="Z35" i="1"/>
  <c r="Z111" i="1"/>
  <c r="Z8" i="1"/>
  <c r="Z71" i="1"/>
  <c r="Z38" i="1"/>
  <c r="Z56" i="1"/>
  <c r="Z118" i="1"/>
  <c r="Z84" i="1"/>
  <c r="V84" i="1"/>
  <c r="V56" i="1"/>
  <c r="V38" i="1"/>
  <c r="V71" i="1"/>
  <c r="Z30" i="1"/>
  <c r="Z74" i="1"/>
  <c r="Z43" i="1"/>
  <c r="Z77" i="1"/>
  <c r="Z117" i="1"/>
  <c r="Z29" i="1"/>
  <c r="Z73" i="1"/>
  <c r="Z28" i="1"/>
  <c r="Z76" i="1"/>
  <c r="Z59" i="1"/>
  <c r="Z72" i="1"/>
  <c r="Z27" i="1"/>
  <c r="Z75" i="1"/>
  <c r="Z85" i="1"/>
  <c r="Z4" i="1"/>
  <c r="Z60" i="1"/>
  <c r="Z96" i="1"/>
  <c r="V13" i="1"/>
  <c r="V10" i="1"/>
  <c r="V44" i="1"/>
  <c r="V61" i="1"/>
  <c r="V12" i="1"/>
  <c r="V54" i="1"/>
  <c r="V93" i="1"/>
  <c r="Z41" i="1"/>
  <c r="Z11" i="1"/>
  <c r="V40" i="1"/>
  <c r="V39" i="1"/>
  <c r="V43" i="1"/>
  <c r="V60" i="1"/>
  <c r="V92" i="1"/>
  <c r="Z40" i="1"/>
  <c r="Z26" i="1"/>
  <c r="Z62" i="1"/>
  <c r="Z114" i="1"/>
  <c r="Z57" i="1"/>
  <c r="Z5" i="1"/>
  <c r="Z54" i="1"/>
  <c r="Z112" i="1"/>
  <c r="Z15" i="1"/>
  <c r="Z10" i="1"/>
  <c r="Z95" i="1"/>
  <c r="V72" i="1"/>
  <c r="V11" i="1"/>
  <c r="Z115" i="1"/>
  <c r="Z58" i="1"/>
  <c r="Z6" i="1"/>
  <c r="Z55" i="1"/>
  <c r="Z61" i="1"/>
  <c r="Z101" i="1"/>
  <c r="V30" i="1"/>
  <c r="V85" i="1"/>
  <c r="V120" i="1"/>
  <c r="V6" i="1"/>
  <c r="V47" i="1"/>
  <c r="V28" i="1"/>
  <c r="V101" i="1"/>
  <c r="V77" i="1"/>
  <c r="V96" i="1"/>
  <c r="Z20" i="1"/>
  <c r="Z14" i="1"/>
  <c r="Z9" i="1"/>
  <c r="Z100" i="1"/>
  <c r="Z94" i="1"/>
  <c r="V19" i="1"/>
  <c r="V29" i="1"/>
  <c r="V15" i="1"/>
  <c r="V119" i="1"/>
  <c r="V5" i="1"/>
  <c r="V46" i="1"/>
  <c r="V27" i="1"/>
  <c r="V100" i="1"/>
  <c r="V75" i="1"/>
  <c r="V95" i="1"/>
  <c r="Z19" i="1"/>
  <c r="Z13" i="1"/>
  <c r="Z47" i="1"/>
  <c r="Z99" i="1"/>
  <c r="Z93" i="1"/>
  <c r="V42" i="1"/>
  <c r="V59" i="1"/>
  <c r="V14" i="1"/>
  <c r="V74" i="1"/>
  <c r="V4" i="1"/>
  <c r="V45" i="1"/>
  <c r="V62" i="1"/>
  <c r="V94" i="1"/>
  <c r="Z42" i="1"/>
  <c r="Z39" i="1"/>
  <c r="Z46" i="1"/>
  <c r="Z12" i="1"/>
  <c r="Z92" i="1"/>
  <c r="V111" i="1"/>
  <c r="V82" i="1"/>
  <c r="V90" i="1"/>
  <c r="V36" i="1"/>
  <c r="V65" i="1"/>
  <c r="V69" i="1"/>
  <c r="V109" i="1"/>
  <c r="V33" i="1"/>
  <c r="V24" i="1"/>
  <c r="V50" i="1"/>
  <c r="V116" i="1"/>
  <c r="Z82" i="1"/>
  <c r="Z90" i="1"/>
  <c r="Z36" i="1"/>
  <c r="Z65" i="1"/>
  <c r="Z69" i="1"/>
  <c r="Z109" i="1"/>
  <c r="Z33" i="1"/>
  <c r="Z24" i="1"/>
  <c r="Z51" i="1"/>
  <c r="Z116" i="1"/>
  <c r="V8" i="1"/>
  <c r="V35" i="1"/>
  <c r="V26" i="1"/>
  <c r="V118" i="1"/>
  <c r="V83" i="1"/>
  <c r="V37" i="1"/>
  <c r="V70" i="1"/>
  <c r="V7" i="1"/>
  <c r="V34" i="1"/>
  <c r="V25" i="1"/>
  <c r="V117" i="1"/>
  <c r="Z83" i="1"/>
  <c r="Z91" i="1"/>
  <c r="Z70" i="1"/>
  <c r="Z7" i="1"/>
  <c r="Z34" i="1"/>
  <c r="Z52" i="1"/>
  <c r="V81" i="1"/>
  <c r="V89" i="1"/>
  <c r="V23" i="1"/>
  <c r="V64" i="1"/>
  <c r="V68" i="1"/>
  <c r="V108" i="1"/>
  <c r="V32" i="1"/>
  <c r="V18" i="1"/>
  <c r="V49" i="1"/>
  <c r="V115" i="1"/>
  <c r="Z81" i="1"/>
  <c r="Z89" i="1"/>
  <c r="Z23" i="1"/>
  <c r="Z64" i="1"/>
  <c r="Z68" i="1"/>
  <c r="Z108" i="1"/>
  <c r="Z32" i="1"/>
  <c r="Z18" i="1"/>
  <c r="Z50" i="1"/>
  <c r="V80" i="1"/>
  <c r="V88" i="1"/>
  <c r="V22" i="1"/>
  <c r="V63" i="1"/>
  <c r="V67" i="1"/>
  <c r="V107" i="1"/>
  <c r="V104" i="1"/>
  <c r="V17" i="1"/>
  <c r="V114" i="1"/>
  <c r="Z80" i="1"/>
  <c r="Z88" i="1"/>
  <c r="Z22" i="1"/>
  <c r="Z63" i="1"/>
  <c r="Z67" i="1"/>
  <c r="Z107" i="1"/>
  <c r="Z104" i="1"/>
  <c r="Z17" i="1"/>
  <c r="Z49" i="1"/>
  <c r="V79" i="1"/>
  <c r="V87" i="1"/>
  <c r="V21" i="1"/>
  <c r="V3" i="1"/>
  <c r="V66" i="1"/>
  <c r="V106" i="1"/>
  <c r="V103" i="1"/>
  <c r="V16" i="1"/>
  <c r="V98" i="1"/>
  <c r="V113" i="1"/>
  <c r="Z79" i="1"/>
  <c r="Z87" i="1"/>
  <c r="Z21" i="1"/>
  <c r="Z3" i="1"/>
  <c r="Z66" i="1"/>
  <c r="Z106" i="1"/>
  <c r="Z103" i="1"/>
  <c r="Z16" i="1"/>
  <c r="Z98" i="1"/>
  <c r="Z113" i="1"/>
  <c r="V91" i="1"/>
  <c r="V110" i="1"/>
  <c r="V52" i="1"/>
  <c r="Z37" i="1"/>
  <c r="Z110" i="1"/>
  <c r="Z25" i="1"/>
  <c r="V31" i="1"/>
  <c r="V86" i="1"/>
  <c r="V121" i="1"/>
  <c r="V2" i="1"/>
  <c r="V48" i="1"/>
  <c r="V105" i="1"/>
  <c r="V102" i="1"/>
  <c r="V78" i="1"/>
  <c r="V97" i="1"/>
  <c r="V112" i="1"/>
  <c r="Z31" i="1"/>
  <c r="Z86" i="1"/>
  <c r="Z121" i="1"/>
  <c r="Z2" i="1"/>
  <c r="Z48" i="1"/>
  <c r="Z105" i="1"/>
  <c r="Z102" i="1"/>
  <c r="Z78" i="1"/>
  <c r="Z97" i="1"/>
  <c r="V76" i="1"/>
  <c r="V99" i="1"/>
  <c r="V55" i="1"/>
  <c r="V51" i="1"/>
  <c r="AH14" i="1"/>
  <c r="AH17" i="1"/>
  <c r="AH18" i="1"/>
  <c r="AH16" i="1"/>
  <c r="AH15" i="1"/>
  <c r="AH13" i="1"/>
  <c r="AH12" i="1"/>
  <c r="AH11" i="1"/>
  <c r="AH19" i="1"/>
  <c r="AH10" i="1"/>
</calcChain>
</file>

<file path=xl/connections.xml><?xml version="1.0" encoding="utf-8"?>
<connections xmlns="http://purl.oclc.org/ooxml/spreadsheetml/main" xmlns:mc="http://schemas.openxmlformats.org/markup-compatibility/2006" xmlns:xr16="http://schemas.microsoft.com/office/spreadsheetml/2017/revision16" mc:Ignorable="xr16">
  <connection id="1" xr16:uid="{5971B844-ABBE-4025-AE0F-8356F6FA0D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896D226-CAEE-4C4A-862B-7BB8C71BD12C}" name="WorksheetConnection_ai_chip_market.xlsx!Table1" type="102" refreshedVersion="8" minRefreshableVersion="5">
    <extLst>
      <ext xmlns:x15="http://schemas.microsoft.com/office/spreadsheetml/2010/11/main" uri="{DE250136-89BD-433C-8126-D09CA5730AF9}">
        <x15:connection id="Table1" autoDelete="1">
          <x15:rangePr sourceName="_xlcn.WorksheetConnection_ai_chip_market.xlsxTable11"/>
        </x15:connection>
      </ext>
    </extLst>
  </connection>
</connections>
</file>

<file path=xl/metadata.xml><?xml version="1.0" encoding="utf-8"?>
<metadata xmlns="http://purl.oclc.org/ooxml/spreadsheetml/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<sst xmlns="http://purl.oclc.org/ooxml/spreadsheetml/main" count="497" uniqueCount="122">
  <si>
    <t>year</t>
  </si>
  <si>
    <t>chip_name</t>
  </si>
  <si>
    <t>vendor</t>
  </si>
  <si>
    <t>launch_date</t>
  </si>
  <si>
    <t>memory_gb</t>
  </si>
  <si>
    <t>fp16_tflops</t>
  </si>
  <si>
    <t>tdp_watts</t>
  </si>
  <si>
    <t>estimated_shipments_units</t>
  </si>
  <si>
    <t>estimated_asp_usd</t>
  </si>
  <si>
    <t>estimated_revenue_usd_m</t>
  </si>
  <si>
    <t>description</t>
  </si>
  <si>
    <t>NVIDIA V100</t>
  </si>
  <si>
    <t>NVIDIA</t>
  </si>
  <si>
    <t>Volta data center GPU</t>
  </si>
  <si>
    <t>vendors</t>
  </si>
  <si>
    <t>number</t>
  </si>
  <si>
    <t>NVIDIA A100</t>
  </si>
  <si>
    <t>Ampere, ML training standard 2020-2022</t>
  </si>
  <si>
    <t>NVIDIA H100</t>
  </si>
  <si>
    <t>NVIDIA H200</t>
  </si>
  <si>
    <t>NVIDIA L40S</t>
  </si>
  <si>
    <t>Hopper, defined 2023-2024 AI boom</t>
  </si>
  <si>
    <t>NVIDIA B200</t>
  </si>
  <si>
    <t>NVIDIA GB200</t>
  </si>
  <si>
    <t>NVIDIA B300</t>
  </si>
  <si>
    <t>AMD MI250X</t>
  </si>
  <si>
    <t>Hopper refresh, 141GB HBM3e</t>
  </si>
  <si>
    <t>AMD MI300X</t>
  </si>
  <si>
    <t>AMD MI325X</t>
  </si>
  <si>
    <t>AMD MI350</t>
  </si>
  <si>
    <t>Ada Lovelace inference</t>
  </si>
  <si>
    <t>Google TPU v3</t>
  </si>
  <si>
    <t>Google TPU v4</t>
  </si>
  <si>
    <t>Google TPU v5e</t>
  </si>
  <si>
    <t>Google TPU v5p</t>
  </si>
  <si>
    <t>Blackwell, GB200 dominant 2025</t>
  </si>
  <si>
    <t>Google TPU v6 Trillium</t>
  </si>
  <si>
    <t>Google TPU v7</t>
  </si>
  <si>
    <t>AWS Trainium2</t>
  </si>
  <si>
    <t>Blackwell superchip dual B200</t>
  </si>
  <si>
    <t>AWS Inferentia2</t>
  </si>
  <si>
    <t>Cerebras WSE-3</t>
  </si>
  <si>
    <t>Groq LPU</t>
  </si>
  <si>
    <t>Blackwell Ultra</t>
  </si>
  <si>
    <t>SambaNova SN40L</t>
  </si>
  <si>
    <t>Tenstorrent Blackhole</t>
  </si>
  <si>
    <t>AMD</t>
  </si>
  <si>
    <t>CDNA2, used in Frontier supercomputer</t>
  </si>
  <si>
    <t>Huawei Ascend 910</t>
  </si>
  <si>
    <t>Huawei Ascend 910B</t>
  </si>
  <si>
    <t>Huawei Ascend 910C</t>
  </si>
  <si>
    <t>Cambricon MLU370</t>
  </si>
  <si>
    <t>Apple M4 (NPU)</t>
  </si>
  <si>
    <t>Apple M5 (NPU)</t>
  </si>
  <si>
    <t>CDNA3, primary H100 competitor</t>
  </si>
  <si>
    <t>MI300X refresh</t>
  </si>
  <si>
    <t>CDNA4 Blackwell competitor</t>
  </si>
  <si>
    <t>Google</t>
  </si>
  <si>
    <t>Internal-only TPU</t>
  </si>
  <si>
    <t>TPU v4 pod 4096 chips</t>
  </si>
  <si>
    <t>Cost-efficient TPU</t>
  </si>
  <si>
    <t>Production TPU</t>
  </si>
  <si>
    <t>6th gen TPU</t>
  </si>
  <si>
    <t>TPU v7 announcement</t>
  </si>
  <si>
    <t>AWS</t>
  </si>
  <si>
    <t>AWS custom training silicon</t>
  </si>
  <si>
    <t>AWS custom inference</t>
  </si>
  <si>
    <t>Cerebras</t>
  </si>
  <si>
    <t>Wafer-scale 4 trillion transistors</t>
  </si>
  <si>
    <t>Groq</t>
  </si>
  <si>
    <t>Inference-optimized</t>
  </si>
  <si>
    <t>SambaNova</t>
  </si>
  <si>
    <t>Reconfigurable dataflow</t>
  </si>
  <si>
    <t>Tenstorrent</t>
  </si>
  <si>
    <t>RISC-V based</t>
  </si>
  <si>
    <t>Huawei</t>
  </si>
  <si>
    <t>Initial Ascend, before sanctions</t>
  </si>
  <si>
    <t>Domestic-supply chain</t>
  </si>
  <si>
    <t>Latest Huawei, ~80% H100 performance</t>
  </si>
  <si>
    <t>Cambricon</t>
  </si>
  <si>
    <t>Chinese AI accelerator</t>
  </si>
  <si>
    <t>Apple</t>
  </si>
  <si>
    <t>Consumer NPU 38 TOPS</t>
  </si>
  <si>
    <t>M5 NPU generation</t>
  </si>
  <si>
    <t>Skew(estimated_shipment</t>
  </si>
  <si>
    <t>Skew(estimated_asp_usd)</t>
  </si>
  <si>
    <t>skew(estimated_revenue_usd)</t>
  </si>
  <si>
    <t>skew(memory_gb)</t>
  </si>
  <si>
    <t>skew(f16_tflops)</t>
  </si>
  <si>
    <t>skew(tdp_watts)</t>
  </si>
  <si>
    <t>log(memory_gb)</t>
  </si>
  <si>
    <t>log(fp16_tpflops)</t>
  </si>
  <si>
    <t>log(tdp_watts)</t>
  </si>
  <si>
    <t>log(estimated_shipment-units)</t>
  </si>
  <si>
    <t>log(estimated_asp_usd)</t>
  </si>
  <si>
    <t>log(estimated_revenue_usd)</t>
  </si>
  <si>
    <t>log1(revenue)</t>
  </si>
  <si>
    <t>log1(estimated_asp_usd)</t>
  </si>
  <si>
    <t>log1 (estimated_shipment)</t>
  </si>
  <si>
    <t>log1(tdp_watts)</t>
  </si>
  <si>
    <t>log1(fp16-tflops)</t>
  </si>
  <si>
    <t>log1(memory_gb)</t>
  </si>
  <si>
    <t>Row Labels</t>
  </si>
  <si>
    <t>Grand Total</t>
  </si>
  <si>
    <t>Year</t>
  </si>
  <si>
    <t>Column Labels</t>
  </si>
  <si>
    <t>Sum of estimated_shipments_units</t>
  </si>
  <si>
    <t>Max of launch_date</t>
  </si>
  <si>
    <t>chip name</t>
  </si>
  <si>
    <t>Efficiency</t>
  </si>
  <si>
    <t>years_since_launch column</t>
  </si>
  <si>
    <t>\</t>
  </si>
  <si>
    <t>Observation</t>
  </si>
  <si>
    <t>This is the source dataset (120 chip-year records, 30 chips, 11 vendors) with engineered columns added: years_since_launch, log-transforms, skewness checks, and compute efficiency.</t>
  </si>
  <si>
    <t>This sheet visually confirms the log-transform work done earlier: it shows 3 pairs of histograms  raw distribution next to its log-transformed version for estimated_shipments_units, estimated_asp_usd, and estimated_revenue_usd_m.
Shipments: skew drops from ~5.12 (raw, heavily right-skewed) to -0.34 after log transform  close to symmetric, a clean fix.
Revenue: skew drops from ~5.81 (raw) to 0.29  also a strong fix, near-symmetric.
ASP (price): skew drops from ~6.08 (raw) to -2.86  improved a lot, but still meaningfully skewed (left-skewed now, rather than right-skewed). This is the one column where a single log transform doesn't fully normalize the distribution  likely because ASP has a cluster of chips priced very similarly (e.g., many at $15,000) plus a few extreme outliers (wafer-scale systems priced over $2M), which even the log scale can't fully smooth out.</t>
  </si>
  <si>
    <t xml:space="preserve">NVIDIA H100 dominates the market, shipping over 6.05M units across its lifetime  more than 60% of total shipments in this view. Total market shipments exploded from 38,182 units in 2020 to a peak of 3.43M in 2025, before easing slightly to 2.1M in 2026. Several chips launched in 2023–2024 (H100, MI300X, B200, GB200, H200) ramped extremely fast in their first full year on the market.
Note: this pivot currently reflects only ~15 chips (filtered subset), totaling ~10.0M units not the full 30-chip, 14.1M-unit dataset. </t>
  </si>
  <si>
    <t>Chips are ranked by lifetime shipment volume alongside their launch date. NVIDIA H200 leads with 1.18M units despite launching relatively recently (April 2024), while NVIDIA A100, launched back in May 2020, has still moved 547K units over its much longer life. Apple's M5 (NPU), launched October 2025, has only 856 units so far too early to assess.</t>
  </si>
  <si>
    <t>Average of tdp_watts</t>
  </si>
  <si>
    <t>Efficiency (TFLOPS per watt) varies enormously across chips  from under 1 TFLOPS/watt on early, high-power chips to over 2 TFLOPS/watt on newer, leaner designs, suggesting real generational efficiency gains.</t>
  </si>
  <si>
    <t>Two relationships stand out: tdp_watts and estimated_asp_usd correlate at 0.995  near-perfect, but likely driven by a handful of extreme high-power, high-price chips rather than a true market-wide pattern (both columns are heavily right-skewed). estimated_shipments_units and estimated_revenue_usd_m correlate at 0.974, which is largely definitional since revenue = shipments × price.
The more interesting finding: fp16_tflops vs estimated_asp_usd is only 0.11 raw compute power is a weak predictor of price in this market. memory_gb also shows weak correlation (under 0.22) with every other variable. Recommend re-running this matrix on the log-transformed columns to check whether outliers are masking a stronger underlying relationship.</t>
  </si>
  <si>
    <t>The clearest adoption pattern: most chips peak 1 year after launch, then decline. NVIDIA H100 shipped 582,977 units in its launch year, jumped to 2.47M in year 1, then declined to 1.87M (year 2) and 1.13M (year 3). NVIDIA A100 shows the same shape  32,054 at launch, peaking at 204,990 in year 1. This "sharp ramp, one-year peak, gradual decline" curve looks like the market's canonical adoption pattern.                                                                              Note: chips launched before 2020 (e.g., NVIDIA V100, launched 2017; Google TPU v3, launched 2018) appear to start mid-lifecycle in this view (years 3+) rather than at year 0, since the dataset itself only starts in 2020 — their true early ramp isn't captured.</t>
  </si>
  <si>
    <t xml:space="preserve">1. Revenue growth trajectory by year: Total market revenue exploded from $600M in 2020 to a peak of $112.5B in 2025, before easing to $70.7B in 2026. The real inflection point is 2023→2024, where revenue jumped from $23.6B to $109.8B — a roughly 4.6x increase in a single year, driven almost entirely by the H100 ramp. The 2026 dip is worth flagging to your audience as either genuine market cooling or an incomplete year of data, since your dataset may not yet have a full 2026.
2. Vendor revenue per year: Breaks total revenue down by vendor. NVIDIA overwhelmingly dominates with $254.1B in cumulative revenue across the dataset — more than 10x the next closest competitor (Google, $23.4B). AMD ($19.2B), Huawei ($11.7B), and AWS ($8.0B) form a distant second tier. Apple, Cambricon, Tenstorrent, and SambaNova each contribute under $1B combined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</si>
</sst>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3">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end/>
      <top style="thin">
        <color theme="4" tint="0.39997558519241921"/>
      </top>
      <bottom style="thin">
        <color theme="4" tint="0.39997558519241921"/>
      </bottom>
      <diagonal/>
    </border>
    <border>
      <start/>
      <end/>
      <top/>
      <bottom style="medium">
        <color indexed="64"/>
      </bottom>
      <diagonal/>
    </border>
    <border>
      <start/>
      <end/>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33" borderId="10" xfId="0" applyNumberFormat="1" applyFill="1" applyBorder="1"/>
    <xf numFmtId="0" fontId="13" fillId="34" borderId="10" xfId="0" applyFont="1" applyFill="1" applyBorder="1"/>
    <xf numFmtId="0" fontId="0" fillId="33" borderId="10" xfId="0" applyFill="1" applyBorder="1"/>
    <xf numFmtId="0" fontId="0" fillId="0" borderId="10" xfId="0" applyBorder="1"/>
    <xf numFmtId="0" fontId="0" fillId="0" borderId="11" xfId="0" applyBorder="1"/>
    <xf numFmtId="0" fontId="18" fillId="0" borderId="12" xfId="0" applyFont="1" applyBorder="1" applyAlignment="1">
      <alignment horizontal="center"/>
    </xf>
    <xf numFmtId="2" fontId="0" fillId="0" borderId="0" xfId="42" applyNumberFormat="1" applyFont="1"/>
    <xf numFmtId="1" fontId="0" fillId="0" borderId="0" xfId="0" applyNumberFormat="1"/>
    <xf numFmtId="0" fontId="0" fillId="0" borderId="0" xfId="0" applyAlignment="1">
      <alignment horizontal="center"/>
    </xf>
    <xf numFmtId="0" fontId="0" fillId="0" borderId="0" xfId="0" applyAlignment="1"/>
    <xf numFmtId="0" fontId="0" fillId="0" borderId="0" xfId="0" applyAlignment="1">
      <alignment horizontal="center" wrapText="1"/>
    </xf>
    <xf numFmtId="0" fontId="0" fillId="0" borderId="0" xfId="0" applyAlignment="1">
      <alignment wrapText="1"/>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connections" Target="connections.xml"/><Relationship Id="rId18" Type="http://purl.oclc.org/ooxml/officeDocument/relationships/calcChain" Target="calcChain.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theme" Target="theme/theme1.xml"/><Relationship Id="rId17" Type="http://schemas.openxmlformats.org/officeDocument/2006/relationships/powerPivotData" Target="model/item.data"/><Relationship Id="rId2" Type="http://purl.oclc.org/ooxml/officeDocument/relationships/worksheet" Target="worksheets/sheet2.xml"/><Relationship Id="rId16" Type="http://purl.oclc.org/ooxml/officeDocument/relationships/sheetMetadata" Target="metadata.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pivotCacheDefinition" Target="pivotCache/pivotCacheDefinition2.xml"/><Relationship Id="rId5" Type="http://purl.oclc.org/ooxml/officeDocument/relationships/worksheet" Target="worksheets/sheet5.xml"/><Relationship Id="rId15" Type="http://purl.oclc.org/ooxml/officeDocument/relationships/sharedStrings" Target="sharedStrings.xml"/><Relationship Id="rId10" Type="http://purl.oclc.org/ooxml/officeDocument/relationships/pivotCacheDefinition" Target="pivotCache/pivotCacheDefinition1.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[ai_chip_market.xlsx]shipment revenue!PivotTable23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'shipment revenue'!$B$3:$B$4</c:f>
              <c:strCache>
                <c:ptCount val="1"/>
                <c:pt idx="0">
                  <c:v>2020</c:v>
                </c:pt>
              </c:strCache>
            </c:strRef>
          </c:tx>
          <c:spPr>
            <a:solidFill>
              <a:schemeClr val="accent1"/>
            </a:solidFill>
            <a:ln>
              <a:noFill/>
            </a:ln>
            <a:effectLst/>
          </c:spPr>
          <c:invertIfNegative val="0"/>
          <c:cat>
            <c:strRef>
              <c:f>'shipment revenue'!$A$5:$A$18</c:f>
              <c:strCache>
                <c:ptCount val="13"/>
                <c:pt idx="0">
                  <c:v>AMD MI250X</c:v>
                </c:pt>
                <c:pt idx="1">
                  <c:v>AMD MI300X</c:v>
                </c:pt>
                <c:pt idx="2">
                  <c:v>AMD MI325X</c:v>
                </c:pt>
                <c:pt idx="3">
                  <c:v>AMD MI350</c:v>
                </c:pt>
                <c:pt idx="4">
                  <c:v>Apple M4 (NPU)</c:v>
                </c:pt>
                <c:pt idx="5">
                  <c:v>NVIDIA A100</c:v>
                </c:pt>
                <c:pt idx="6">
                  <c:v>NVIDIA B200</c:v>
                </c:pt>
                <c:pt idx="7">
                  <c:v>NVIDIA B300</c:v>
                </c:pt>
                <c:pt idx="8">
                  <c:v>NVIDIA GB200</c:v>
                </c:pt>
                <c:pt idx="9">
                  <c:v>NVIDIA H100</c:v>
                </c:pt>
                <c:pt idx="10">
                  <c:v>NVIDIA H200</c:v>
                </c:pt>
                <c:pt idx="11">
                  <c:v>NVIDIA L40S</c:v>
                </c:pt>
                <c:pt idx="12">
                  <c:v>NVIDIA V100</c:v>
                </c:pt>
              </c:strCache>
            </c:strRef>
          </c:cat>
          <c:val>
            <c:numRef>
              <c:f>'shipment revenue'!$B$5:$B$18</c:f>
              <c:numCache>
                <c:formatCode>General</c:formatCode>
                <c:ptCount val="13"/>
                <c:pt idx="5">
                  <c:v>32054</c:v>
                </c:pt>
                <c:pt idx="12">
                  <c:v>6128</c:v>
                </c:pt>
              </c:numCache>
            </c:numRef>
          </c:val>
          <c:extLst>
            <c:ext xmlns:c16="http://schemas.microsoft.com/office/drawing/2014/chart" uri="{C3380CC4-5D6E-409C-BE32-E72D297353CC}">
              <c16:uniqueId val="{00000000-01D2-4BDF-A3B8-F11199253086}"/>
            </c:ext>
          </c:extLst>
        </c:ser>
        <c:ser>
          <c:idx val="1"/>
          <c:order val="1"/>
          <c:tx>
            <c:strRef>
              <c:f>'shipment revenue'!$C$3:$C$4</c:f>
              <c:strCache>
                <c:ptCount val="1"/>
                <c:pt idx="0">
                  <c:v>2021</c:v>
                </c:pt>
              </c:strCache>
            </c:strRef>
          </c:tx>
          <c:spPr>
            <a:solidFill>
              <a:schemeClr val="accent2"/>
            </a:solidFill>
            <a:ln>
              <a:noFill/>
            </a:ln>
            <a:effectLst/>
          </c:spPr>
          <c:invertIfNegative val="0"/>
          <c:cat>
            <c:strRef>
              <c:f>'shipment revenue'!$A$5:$A$18</c:f>
              <c:strCache>
                <c:ptCount val="13"/>
                <c:pt idx="0">
                  <c:v>AMD MI250X</c:v>
                </c:pt>
                <c:pt idx="1">
                  <c:v>AMD MI300X</c:v>
                </c:pt>
                <c:pt idx="2">
                  <c:v>AMD MI325X</c:v>
                </c:pt>
                <c:pt idx="3">
                  <c:v>AMD MI350</c:v>
                </c:pt>
                <c:pt idx="4">
                  <c:v>Apple M4 (NPU)</c:v>
                </c:pt>
                <c:pt idx="5">
                  <c:v>NVIDIA A100</c:v>
                </c:pt>
                <c:pt idx="6">
                  <c:v>NVIDIA B200</c:v>
                </c:pt>
                <c:pt idx="7">
                  <c:v>NVIDIA B300</c:v>
                </c:pt>
                <c:pt idx="8">
                  <c:v>NVIDIA GB200</c:v>
                </c:pt>
                <c:pt idx="9">
                  <c:v>NVIDIA H100</c:v>
                </c:pt>
                <c:pt idx="10">
                  <c:v>NVIDIA H200</c:v>
                </c:pt>
                <c:pt idx="11">
                  <c:v>NVIDIA L40S</c:v>
                </c:pt>
                <c:pt idx="12">
                  <c:v>NVIDIA V100</c:v>
                </c:pt>
              </c:strCache>
            </c:strRef>
          </c:cat>
          <c:val>
            <c:numRef>
              <c:f>'shipment revenue'!$C$5:$C$18</c:f>
              <c:numCache>
                <c:formatCode>General</c:formatCode>
                <c:ptCount val="13"/>
                <c:pt idx="0">
                  <c:v>23</c:v>
                </c:pt>
                <c:pt idx="5">
                  <c:v>204990</c:v>
                </c:pt>
                <c:pt idx="12">
                  <c:v>2719</c:v>
                </c:pt>
              </c:numCache>
            </c:numRef>
          </c:val>
          <c:extLst>
            <c:ext xmlns:c16="http://schemas.microsoft.com/office/drawing/2014/chart" uri="{C3380CC4-5D6E-409C-BE32-E72D297353CC}">
              <c16:uniqueId val="{00000001-01D2-4BDF-A3B8-F11199253086}"/>
            </c:ext>
          </c:extLst>
        </c:ser>
        <c:ser>
          <c:idx val="2"/>
          <c:order val="2"/>
          <c:tx>
            <c:strRef>
              <c:f>'shipment revenue'!$D$3:$D$4</c:f>
              <c:strCache>
                <c:ptCount val="1"/>
                <c:pt idx="0">
                  <c:v>2022</c:v>
                </c:pt>
              </c:strCache>
            </c:strRef>
          </c:tx>
          <c:spPr>
            <a:solidFill>
              <a:schemeClr val="accent3"/>
            </a:solidFill>
            <a:ln>
              <a:noFill/>
            </a:ln>
            <a:effectLst/>
          </c:spPr>
          <c:invertIfNegative val="0"/>
          <c:cat>
            <c:strRef>
              <c:f>'shipment revenue'!$A$5:$A$18</c:f>
              <c:strCache>
                <c:ptCount val="13"/>
                <c:pt idx="0">
                  <c:v>AMD MI250X</c:v>
                </c:pt>
                <c:pt idx="1">
                  <c:v>AMD MI300X</c:v>
                </c:pt>
                <c:pt idx="2">
                  <c:v>AMD MI325X</c:v>
                </c:pt>
                <c:pt idx="3">
                  <c:v>AMD MI350</c:v>
                </c:pt>
                <c:pt idx="4">
                  <c:v>Apple M4 (NPU)</c:v>
                </c:pt>
                <c:pt idx="5">
                  <c:v>NVIDIA A100</c:v>
                </c:pt>
                <c:pt idx="6">
                  <c:v>NVIDIA B200</c:v>
                </c:pt>
                <c:pt idx="7">
                  <c:v>NVIDIA B300</c:v>
                </c:pt>
                <c:pt idx="8">
                  <c:v>NVIDIA GB200</c:v>
                </c:pt>
                <c:pt idx="9">
                  <c:v>NVIDIA H100</c:v>
                </c:pt>
                <c:pt idx="10">
                  <c:v>NVIDIA H200</c:v>
                </c:pt>
                <c:pt idx="11">
                  <c:v>NVIDIA L40S</c:v>
                </c:pt>
                <c:pt idx="12">
                  <c:v>NVIDIA V100</c:v>
                </c:pt>
              </c:strCache>
            </c:strRef>
          </c:cat>
          <c:val>
            <c:numRef>
              <c:f>'shipment revenue'!$D$5:$D$18</c:f>
              <c:numCache>
                <c:formatCode>General</c:formatCode>
                <c:ptCount val="13"/>
                <c:pt idx="0">
                  <c:v>1030</c:v>
                </c:pt>
                <c:pt idx="5">
                  <c:v>145343</c:v>
                </c:pt>
                <c:pt idx="12">
                  <c:v>3098</c:v>
                </c:pt>
              </c:numCache>
            </c:numRef>
          </c:val>
          <c:extLst>
            <c:ext xmlns:c16="http://schemas.microsoft.com/office/drawing/2014/chart" uri="{C3380CC4-5D6E-409C-BE32-E72D297353CC}">
              <c16:uniqueId val="{00000002-01D2-4BDF-A3B8-F11199253086}"/>
            </c:ext>
          </c:extLst>
        </c:ser>
        <c:ser>
          <c:idx val="3"/>
          <c:order val="3"/>
          <c:tx>
            <c:strRef>
              <c:f>'shipment revenue'!$E$3:$E$4</c:f>
              <c:strCache>
                <c:ptCount val="1"/>
                <c:pt idx="0">
                  <c:v>2023</c:v>
                </c:pt>
              </c:strCache>
            </c:strRef>
          </c:tx>
          <c:spPr>
            <a:solidFill>
              <a:schemeClr val="accent4"/>
            </a:solidFill>
            <a:ln>
              <a:noFill/>
            </a:ln>
            <a:effectLst/>
          </c:spPr>
          <c:invertIfNegative val="0"/>
          <c:cat>
            <c:strRef>
              <c:f>'shipment revenue'!$A$5:$A$18</c:f>
              <c:strCache>
                <c:ptCount val="13"/>
                <c:pt idx="0">
                  <c:v>AMD MI250X</c:v>
                </c:pt>
                <c:pt idx="1">
                  <c:v>AMD MI300X</c:v>
                </c:pt>
                <c:pt idx="2">
                  <c:v>AMD MI325X</c:v>
                </c:pt>
                <c:pt idx="3">
                  <c:v>AMD MI350</c:v>
                </c:pt>
                <c:pt idx="4">
                  <c:v>Apple M4 (NPU)</c:v>
                </c:pt>
                <c:pt idx="5">
                  <c:v>NVIDIA A100</c:v>
                </c:pt>
                <c:pt idx="6">
                  <c:v>NVIDIA B200</c:v>
                </c:pt>
                <c:pt idx="7">
                  <c:v>NVIDIA B300</c:v>
                </c:pt>
                <c:pt idx="8">
                  <c:v>NVIDIA GB200</c:v>
                </c:pt>
                <c:pt idx="9">
                  <c:v>NVIDIA H100</c:v>
                </c:pt>
                <c:pt idx="10">
                  <c:v>NVIDIA H200</c:v>
                </c:pt>
                <c:pt idx="11">
                  <c:v>NVIDIA L40S</c:v>
                </c:pt>
                <c:pt idx="12">
                  <c:v>NVIDIA V100</c:v>
                </c:pt>
              </c:strCache>
            </c:strRef>
          </c:cat>
          <c:val>
            <c:numRef>
              <c:f>'shipment revenue'!$E$5:$E$18</c:f>
              <c:numCache>
                <c:formatCode>General</c:formatCode>
                <c:ptCount val="13"/>
                <c:pt idx="0">
                  <c:v>713</c:v>
                </c:pt>
                <c:pt idx="1">
                  <c:v>0</c:v>
                </c:pt>
                <c:pt idx="5">
                  <c:v>76814</c:v>
                </c:pt>
                <c:pt idx="9">
                  <c:v>582977</c:v>
                </c:pt>
                <c:pt idx="11">
                  <c:v>51592</c:v>
                </c:pt>
                <c:pt idx="12">
                  <c:v>2572</c:v>
                </c:pt>
              </c:numCache>
            </c:numRef>
          </c:val>
          <c:extLst>
            <c:ext xmlns:c16="http://schemas.microsoft.com/office/drawing/2014/chart" uri="{C3380CC4-5D6E-409C-BE32-E72D297353CC}">
              <c16:uniqueId val="{00000003-01D2-4BDF-A3B8-F11199253086}"/>
            </c:ext>
          </c:extLst>
        </c:ser>
        <c:ser>
          <c:idx val="4"/>
          <c:order val="4"/>
          <c:tx>
            <c:strRef>
              <c:f>'shipment revenue'!$F$3:$F$4</c:f>
              <c:strCache>
                <c:ptCount val="1"/>
                <c:pt idx="0">
                  <c:v>2024</c:v>
                </c:pt>
              </c:strCache>
            </c:strRef>
          </c:tx>
          <c:spPr>
            <a:solidFill>
              <a:schemeClr val="accent5"/>
            </a:solidFill>
            <a:ln>
              <a:noFill/>
            </a:ln>
            <a:effectLst/>
          </c:spPr>
          <c:invertIfNegative val="0"/>
          <c:cat>
            <c:strRef>
              <c:f>'shipment revenue'!$A$5:$A$18</c:f>
              <c:strCache>
                <c:ptCount val="13"/>
                <c:pt idx="0">
                  <c:v>AMD MI250X</c:v>
                </c:pt>
                <c:pt idx="1">
                  <c:v>AMD MI300X</c:v>
                </c:pt>
                <c:pt idx="2">
                  <c:v>AMD MI325X</c:v>
                </c:pt>
                <c:pt idx="3">
                  <c:v>AMD MI350</c:v>
                </c:pt>
                <c:pt idx="4">
                  <c:v>Apple M4 (NPU)</c:v>
                </c:pt>
                <c:pt idx="5">
                  <c:v>NVIDIA A100</c:v>
                </c:pt>
                <c:pt idx="6">
                  <c:v>NVIDIA B200</c:v>
                </c:pt>
                <c:pt idx="7">
                  <c:v>NVIDIA B300</c:v>
                </c:pt>
                <c:pt idx="8">
                  <c:v>NVIDIA GB200</c:v>
                </c:pt>
                <c:pt idx="9">
                  <c:v>NVIDIA H100</c:v>
                </c:pt>
                <c:pt idx="10">
                  <c:v>NVIDIA H200</c:v>
                </c:pt>
                <c:pt idx="11">
                  <c:v>NVIDIA L40S</c:v>
                </c:pt>
                <c:pt idx="12">
                  <c:v>NVIDIA V100</c:v>
                </c:pt>
              </c:strCache>
            </c:strRef>
          </c:cat>
          <c:val>
            <c:numRef>
              <c:f>'shipment revenue'!$F$5:$F$18</c:f>
              <c:numCache>
                <c:formatCode>General</c:formatCode>
                <c:ptCount val="13"/>
                <c:pt idx="0">
                  <c:v>354</c:v>
                </c:pt>
                <c:pt idx="1">
                  <c:v>414143</c:v>
                </c:pt>
                <c:pt idx="2">
                  <c:v>2651</c:v>
                </c:pt>
                <c:pt idx="4">
                  <c:v>174</c:v>
                </c:pt>
                <c:pt idx="5">
                  <c:v>28956</c:v>
                </c:pt>
                <c:pt idx="6">
                  <c:v>5165</c:v>
                </c:pt>
                <c:pt idx="8">
                  <c:v>2564</c:v>
                </c:pt>
                <c:pt idx="9">
                  <c:v>2466989</c:v>
                </c:pt>
                <c:pt idx="10">
                  <c:v>115829</c:v>
                </c:pt>
                <c:pt idx="11">
                  <c:v>327147</c:v>
                </c:pt>
                <c:pt idx="12">
                  <c:v>3437</c:v>
                </c:pt>
              </c:numCache>
            </c:numRef>
          </c:val>
          <c:extLst>
            <c:ext xmlns:c16="http://schemas.microsoft.com/office/drawing/2014/chart" uri="{C3380CC4-5D6E-409C-BE32-E72D297353CC}">
              <c16:uniqueId val="{00000004-01D2-4BDF-A3B8-F11199253086}"/>
            </c:ext>
          </c:extLst>
        </c:ser>
        <c:ser>
          <c:idx val="5"/>
          <c:order val="5"/>
          <c:tx>
            <c:strRef>
              <c:f>'shipment revenue'!$G$3:$G$4</c:f>
              <c:strCache>
                <c:ptCount val="1"/>
                <c:pt idx="0">
                  <c:v>2025</c:v>
                </c:pt>
              </c:strCache>
            </c:strRef>
          </c:tx>
          <c:spPr>
            <a:solidFill>
              <a:schemeClr val="accent6"/>
            </a:solidFill>
            <a:ln>
              <a:noFill/>
            </a:ln>
            <a:effectLst/>
          </c:spPr>
          <c:invertIfNegative val="0"/>
          <c:cat>
            <c:strRef>
              <c:f>'shipment revenue'!$A$5:$A$18</c:f>
              <c:strCache>
                <c:ptCount val="13"/>
                <c:pt idx="0">
                  <c:v>AMD MI250X</c:v>
                </c:pt>
                <c:pt idx="1">
                  <c:v>AMD MI300X</c:v>
                </c:pt>
                <c:pt idx="2">
                  <c:v>AMD MI325X</c:v>
                </c:pt>
                <c:pt idx="3">
                  <c:v>AMD MI350</c:v>
                </c:pt>
                <c:pt idx="4">
                  <c:v>Apple M4 (NPU)</c:v>
                </c:pt>
                <c:pt idx="5">
                  <c:v>NVIDIA A100</c:v>
                </c:pt>
                <c:pt idx="6">
                  <c:v>NVIDIA B200</c:v>
                </c:pt>
                <c:pt idx="7">
                  <c:v>NVIDIA B300</c:v>
                </c:pt>
                <c:pt idx="8">
                  <c:v>NVIDIA GB200</c:v>
                </c:pt>
                <c:pt idx="9">
                  <c:v>NVIDIA H100</c:v>
                </c:pt>
                <c:pt idx="10">
                  <c:v>NVIDIA H200</c:v>
                </c:pt>
                <c:pt idx="11">
                  <c:v>NVIDIA L40S</c:v>
                </c:pt>
                <c:pt idx="12">
                  <c:v>NVIDIA V100</c:v>
                </c:pt>
              </c:strCache>
            </c:strRef>
          </c:cat>
          <c:val>
            <c:numRef>
              <c:f>'shipment revenue'!$G$5:$G$18</c:f>
              <c:numCache>
                <c:formatCode>General</c:formatCode>
                <c:ptCount val="13"/>
                <c:pt idx="0">
                  <c:v>122</c:v>
                </c:pt>
                <c:pt idx="1">
                  <c:v>369849</c:v>
                </c:pt>
                <c:pt idx="2">
                  <c:v>52331</c:v>
                </c:pt>
                <c:pt idx="3">
                  <c:v>138</c:v>
                </c:pt>
                <c:pt idx="4">
                  <c:v>1082</c:v>
                </c:pt>
                <c:pt idx="5">
                  <c:v>26870</c:v>
                </c:pt>
                <c:pt idx="6">
                  <c:v>126650</c:v>
                </c:pt>
                <c:pt idx="7">
                  <c:v>0</c:v>
                </c:pt>
                <c:pt idx="8">
                  <c:v>45968</c:v>
                </c:pt>
                <c:pt idx="9">
                  <c:v>1874943</c:v>
                </c:pt>
                <c:pt idx="10">
                  <c:v>573022</c:v>
                </c:pt>
                <c:pt idx="11">
                  <c:v>359171</c:v>
                </c:pt>
                <c:pt idx="12">
                  <c:v>2504</c:v>
                </c:pt>
              </c:numCache>
            </c:numRef>
          </c:val>
          <c:extLst>
            <c:ext xmlns:c16="http://schemas.microsoft.com/office/drawing/2014/chart" uri="{C3380CC4-5D6E-409C-BE32-E72D297353CC}">
              <c16:uniqueId val="{00000005-01D2-4BDF-A3B8-F11199253086}"/>
            </c:ext>
          </c:extLst>
        </c:ser>
        <c:ser>
          <c:idx val="6"/>
          <c:order val="6"/>
          <c:tx>
            <c:strRef>
              <c:f>'shipment revenue'!$H$3:$H$4</c:f>
              <c:strCache>
                <c:ptCount val="1"/>
                <c:pt idx="0">
                  <c:v>2026</c:v>
                </c:pt>
              </c:strCache>
            </c:strRef>
          </c:tx>
          <c:spPr>
            <a:solidFill>
              <a:schemeClr val="accent1">
                <a:lumMod val="60%"/>
              </a:schemeClr>
            </a:solidFill>
            <a:ln>
              <a:noFill/>
            </a:ln>
            <a:effectLst/>
          </c:spPr>
          <c:invertIfNegative val="0"/>
          <c:cat>
            <c:strRef>
              <c:f>'shipment revenue'!$A$5:$A$18</c:f>
              <c:strCache>
                <c:ptCount val="13"/>
                <c:pt idx="0">
                  <c:v>AMD MI250X</c:v>
                </c:pt>
                <c:pt idx="1">
                  <c:v>AMD MI300X</c:v>
                </c:pt>
                <c:pt idx="2">
                  <c:v>AMD MI325X</c:v>
                </c:pt>
                <c:pt idx="3">
                  <c:v>AMD MI350</c:v>
                </c:pt>
                <c:pt idx="4">
                  <c:v>Apple M4 (NPU)</c:v>
                </c:pt>
                <c:pt idx="5">
                  <c:v>NVIDIA A100</c:v>
                </c:pt>
                <c:pt idx="6">
                  <c:v>NVIDIA B200</c:v>
                </c:pt>
                <c:pt idx="7">
                  <c:v>NVIDIA B300</c:v>
                </c:pt>
                <c:pt idx="8">
                  <c:v>NVIDIA GB200</c:v>
                </c:pt>
                <c:pt idx="9">
                  <c:v>NVIDIA H100</c:v>
                </c:pt>
                <c:pt idx="10">
                  <c:v>NVIDIA H200</c:v>
                </c:pt>
                <c:pt idx="11">
                  <c:v>NVIDIA L40S</c:v>
                </c:pt>
                <c:pt idx="12">
                  <c:v>NVIDIA V100</c:v>
                </c:pt>
              </c:strCache>
            </c:strRef>
          </c:cat>
          <c:val>
            <c:numRef>
              <c:f>'shipment revenue'!$H$5:$H$18</c:f>
              <c:numCache>
                <c:formatCode>General</c:formatCode>
                <c:ptCount val="13"/>
                <c:pt idx="0">
                  <c:v>159</c:v>
                </c:pt>
                <c:pt idx="1">
                  <c:v>162122</c:v>
                </c:pt>
                <c:pt idx="2">
                  <c:v>39454</c:v>
                </c:pt>
                <c:pt idx="3">
                  <c:v>1393</c:v>
                </c:pt>
                <c:pt idx="4">
                  <c:v>776</c:v>
                </c:pt>
                <c:pt idx="5">
                  <c:v>32264</c:v>
                </c:pt>
                <c:pt idx="6">
                  <c:v>86084</c:v>
                </c:pt>
                <c:pt idx="7">
                  <c:v>888</c:v>
                </c:pt>
                <c:pt idx="8">
                  <c:v>40186</c:v>
                </c:pt>
                <c:pt idx="9">
                  <c:v>1126912</c:v>
                </c:pt>
                <c:pt idx="10">
                  <c:v>487597</c:v>
                </c:pt>
                <c:pt idx="11">
                  <c:v>120445</c:v>
                </c:pt>
                <c:pt idx="12">
                  <c:v>2873</c:v>
                </c:pt>
              </c:numCache>
            </c:numRef>
          </c:val>
          <c:extLst>
            <c:ext xmlns:c16="http://schemas.microsoft.com/office/drawing/2014/chart" uri="{C3380CC4-5D6E-409C-BE32-E72D297353CC}">
              <c16:uniqueId val="{00000006-01D2-4BDF-A3B8-F11199253086}"/>
            </c:ext>
          </c:extLst>
        </c:ser>
        <c:dLbls>
          <c:showLegendKey val="0"/>
          <c:showVal val="0"/>
          <c:showCatName val="0"/>
          <c:showSerName val="0"/>
          <c:showPercent val="0"/>
          <c:showBubbleSize val="0"/>
        </c:dLbls>
        <c:gapWidth val="150"/>
        <c:overlap val="100"/>
        <c:axId val="395544735"/>
        <c:axId val="457919471"/>
      </c:barChart>
      <c:catAx>
        <c:axId val="39554473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457919471"/>
        <c:crosses val="autoZero"/>
        <c:auto val="1"/>
        <c:lblAlgn val="ctr"/>
        <c:lblOffset val="100"/>
        <c:noMultiLvlLbl val="0"/>
      </c:catAx>
      <c:valAx>
        <c:axId val="457919471"/>
        <c:scaling>
          <c:orientation val="minMax"/>
        </c:scaling>
        <c:delete val="0"/>
        <c:axPos val="l"/>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9554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[ai_chip_market.xlsx]Total shipment by chip!PivotTable24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a:t> Total</a:t>
            </a:r>
            <a:r>
              <a:rPr lang="en-GB" baseline="0%"/>
              <a:t> shipment by chip</a:t>
            </a:r>
            <a:endParaRPr lang="en-GB"/>
          </a:p>
        </c:rich>
      </c:tx>
      <c:layout>
        <c:manualLayout>
          <c:xMode val="edge"/>
          <c:yMode val="edge"/>
          <c:x val="0.46116316838694282"/>
          <c:y val="6.46528274874731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58249243771216"/>
          <c:y val="0.10894860415175375"/>
          <c:w val="0.66241518197322113"/>
          <c:h val="0.82255869868118336"/>
        </c:manualLayout>
      </c:layout>
      <c:barChart>
        <c:barDir val="bar"/>
        <c:grouping val="clustered"/>
        <c:varyColors val="0"/>
        <c:ser>
          <c:idx val="0"/>
          <c:order val="0"/>
          <c:tx>
            <c:strRef>
              <c:f>'Total shipment by chip'!$B$3</c:f>
              <c:strCache>
                <c:ptCount val="1"/>
                <c:pt idx="0">
                  <c:v>Sum of estimated_shipments_units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'Total shipment by chip'!$A$4:$A$13</c:f>
              <c:strCache>
                <c:ptCount val="9"/>
                <c:pt idx="0">
                  <c:v>NVIDIA H200</c:v>
                </c:pt>
                <c:pt idx="1">
                  <c:v>Google TPU v5p</c:v>
                </c:pt>
                <c:pt idx="2">
                  <c:v>NVIDIA A100</c:v>
                </c:pt>
                <c:pt idx="3">
                  <c:v>NVIDIA B200</c:v>
                </c:pt>
                <c:pt idx="4">
                  <c:v>AWS Trainium2</c:v>
                </c:pt>
                <c:pt idx="5">
                  <c:v>SambaNova SN40L</c:v>
                </c:pt>
                <c:pt idx="6">
                  <c:v>Google TPU v4</c:v>
                </c:pt>
                <c:pt idx="7">
                  <c:v>Google TPU v3</c:v>
                </c:pt>
                <c:pt idx="8">
                  <c:v>Apple M5 (NPU)</c:v>
                </c:pt>
              </c:strCache>
            </c:strRef>
          </c:cat>
          <c:val>
            <c:numRef>
              <c:f>'Total shipment by chip'!$B$4:$B$13</c:f>
              <c:numCache>
                <c:formatCode>General</c:formatCode>
                <c:ptCount val="9"/>
                <c:pt idx="0">
                  <c:v>1176448</c:v>
                </c:pt>
                <c:pt idx="1">
                  <c:v>587840</c:v>
                </c:pt>
                <c:pt idx="2">
                  <c:v>547291</c:v>
                </c:pt>
                <c:pt idx="3">
                  <c:v>217899</c:v>
                </c:pt>
                <c:pt idx="4">
                  <c:v>150189</c:v>
                </c:pt>
                <c:pt idx="5">
                  <c:v>7839</c:v>
                </c:pt>
                <c:pt idx="6">
                  <c:v>2911</c:v>
                </c:pt>
                <c:pt idx="7">
                  <c:v>1868</c:v>
                </c:pt>
                <c:pt idx="8">
                  <c:v>856</c:v>
                </c:pt>
              </c:numCache>
            </c:numRef>
          </c:val>
          <c:extLst>
            <c:ext xmlns:c16="http://schemas.microsoft.com/office/drawing/2014/chart" uri="{C3380CC4-5D6E-409C-BE32-E72D297353CC}">
              <c16:uniqueId val="{00000000-8A60-4345-B054-31E7863ED385}"/>
            </c:ext>
          </c:extLst>
        </c:ser>
        <c:ser>
          <c:idx val="1"/>
          <c:order val="1"/>
          <c:tx>
            <c:strRef>
              <c:f>'Total shipment by chip'!$C$3</c:f>
              <c:strCache>
                <c:ptCount val="1"/>
                <c:pt idx="0">
                  <c:v>Max of launch_date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'Total shipment by chip'!$A$4:$A$13</c:f>
              <c:strCache>
                <c:ptCount val="9"/>
                <c:pt idx="0">
                  <c:v>NVIDIA H200</c:v>
                </c:pt>
                <c:pt idx="1">
                  <c:v>Google TPU v5p</c:v>
                </c:pt>
                <c:pt idx="2">
                  <c:v>NVIDIA A100</c:v>
                </c:pt>
                <c:pt idx="3">
                  <c:v>NVIDIA B200</c:v>
                </c:pt>
                <c:pt idx="4">
                  <c:v>AWS Trainium2</c:v>
                </c:pt>
                <c:pt idx="5">
                  <c:v>SambaNova SN40L</c:v>
                </c:pt>
                <c:pt idx="6">
                  <c:v>Google TPU v4</c:v>
                </c:pt>
                <c:pt idx="7">
                  <c:v>Google TPU v3</c:v>
                </c:pt>
                <c:pt idx="8">
                  <c:v>Apple M5 (NPU)</c:v>
                </c:pt>
              </c:strCache>
            </c:strRef>
          </c:cat>
          <c:val>
            <c:numRef>
              <c:f>'Total shipment by chip'!$C$4:$C$13</c:f>
              <c:numCache>
                <c:formatCode>m/d/yyyy</c:formatCode>
                <c:ptCount val="9"/>
                <c:pt idx="0">
                  <c:v>45397</c:v>
                </c:pt>
                <c:pt idx="1">
                  <c:v>45266</c:v>
                </c:pt>
                <c:pt idx="2">
                  <c:v>43965</c:v>
                </c:pt>
                <c:pt idx="3">
                  <c:v>45595</c:v>
                </c:pt>
                <c:pt idx="4">
                  <c:v>45629</c:v>
                </c:pt>
                <c:pt idx="5">
                  <c:v>45188</c:v>
                </c:pt>
                <c:pt idx="6">
                  <c:v>44334</c:v>
                </c:pt>
                <c:pt idx="7">
                  <c:v>43228</c:v>
                </c:pt>
                <c:pt idx="8">
                  <c:v>45960</c:v>
                </c:pt>
              </c:numCache>
            </c:numRef>
          </c:val>
          <c:extLst>
            <c:ext xmlns:c16="http://schemas.microsoft.com/office/drawing/2014/chart" uri="{C3380CC4-5D6E-409C-BE32-E72D297353CC}">
              <c16:uniqueId val="{00000001-8A60-4345-B054-31E7863ED385}"/>
            </c:ext>
          </c:extLst>
        </c:ser>
        <c:dLbls>
          <c:dLblPos val="outEnd"/>
          <c:showLegendKey val="0"/>
          <c:showVal val="1"/>
          <c:showCatName val="0"/>
          <c:showSerName val="0"/>
          <c:showPercent val="0"/>
          <c:showBubbleSize val="0"/>
        </c:dLbls>
        <c:gapWidth val="182"/>
        <c:axId val="1908232512"/>
        <c:axId val="1645015824"/>
      </c:barChart>
      <c:catAx>
        <c:axId val="1908232512"/>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45015824"/>
        <c:crosses val="autoZero"/>
        <c:auto val="1"/>
        <c:lblAlgn val="ctr"/>
        <c:lblOffset val="100"/>
        <c:noMultiLvlLbl val="0"/>
      </c:catAx>
      <c:valAx>
        <c:axId val="1645015824"/>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90823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[ai_chip_market.xlsx]Compute efficiency!PivotTable66</c:name>
    <c:fmtId val="1"/>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fp16_tflops</a:t>
            </a:r>
            <a:r>
              <a:rPr lang="en-US" baseline="0%"/>
              <a:t> vs tdp_watt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'Compute efficiency'!$B$3</c:f>
              <c:strCache>
                <c:ptCount val="1"/>
                <c:pt idx="0">
                  <c:v>Total</c:v>
                </c:pt>
              </c:strCache>
            </c:strRef>
          </c:tx>
          <c:spPr>
            <a:solidFill>
              <a:schemeClr val="accent1"/>
            </a:solidFill>
            <a:ln>
              <a:noFill/>
            </a:ln>
            <a:effectLst/>
          </c:spPr>
          <c:invertIfNegative val="0"/>
          <c:cat>
            <c:strRef>
              <c:f>'Compute efficiency'!$A$4:$A$31</c:f>
              <c:strCache>
                <c:ptCount val="27"/>
                <c:pt idx="0">
                  <c:v>1250</c:v>
                </c:pt>
                <c:pt idx="1">
                  <c:v>5000</c:v>
                </c:pt>
                <c:pt idx="2">
                  <c:v>3500</c:v>
                </c:pt>
                <c:pt idx="3">
                  <c:v>1850</c:v>
                </c:pt>
                <c:pt idx="4">
                  <c:v>2250</c:v>
                </c:pt>
                <c:pt idx="5">
                  <c:v>1300</c:v>
                </c:pt>
                <c:pt idx="6">
                  <c:v>989</c:v>
                </c:pt>
                <c:pt idx="7">
                  <c:v>650</c:v>
                </c:pt>
                <c:pt idx="8">
                  <c:v>383</c:v>
                </c:pt>
                <c:pt idx="9">
                  <c:v>800</c:v>
                </c:pt>
                <c:pt idx="10">
                  <c:v>312</c:v>
                </c:pt>
                <c:pt idx="11">
                  <c:v>512</c:v>
                </c:pt>
                <c:pt idx="12">
                  <c:v>362</c:v>
                </c:pt>
                <c:pt idx="13">
                  <c:v>750</c:v>
                </c:pt>
                <c:pt idx="14">
                  <c:v>1500</c:v>
                </c:pt>
                <c:pt idx="15">
                  <c:v>745</c:v>
                </c:pt>
                <c:pt idx="16">
                  <c:v>100</c:v>
                </c:pt>
                <c:pt idx="17">
                  <c:v>510</c:v>
                </c:pt>
                <c:pt idx="18">
                  <c:v>256</c:v>
                </c:pt>
                <c:pt idx="19">
                  <c:v>123</c:v>
                </c:pt>
                <c:pt idx="20">
                  <c:v>926</c:v>
                </c:pt>
                <c:pt idx="21">
                  <c:v>190</c:v>
                </c:pt>
                <c:pt idx="22">
                  <c:v>275</c:v>
                </c:pt>
                <c:pt idx="23">
                  <c:v>459</c:v>
                </c:pt>
                <c:pt idx="24">
                  <c:v>197</c:v>
                </c:pt>
                <c:pt idx="25">
                  <c:v>60</c:v>
                </c:pt>
                <c:pt idx="26">
                  <c:v>38</c:v>
                </c:pt>
              </c:strCache>
            </c:strRef>
          </c:cat>
          <c:val>
            <c:numRef>
              <c:f>'Compute efficiency'!$B$4:$B$31</c:f>
              <c:numCache>
                <c:formatCode>General</c:formatCode>
                <c:ptCount val="27"/>
                <c:pt idx="0">
                  <c:v>23000</c:v>
                </c:pt>
                <c:pt idx="1">
                  <c:v>2700</c:v>
                </c:pt>
                <c:pt idx="2">
                  <c:v>1400</c:v>
                </c:pt>
                <c:pt idx="3">
                  <c:v>1000</c:v>
                </c:pt>
                <c:pt idx="4">
                  <c:v>1000</c:v>
                </c:pt>
                <c:pt idx="5">
                  <c:v>857.14285714285711</c:v>
                </c:pt>
                <c:pt idx="6">
                  <c:v>700</c:v>
                </c:pt>
                <c:pt idx="7">
                  <c:v>500</c:v>
                </c:pt>
                <c:pt idx="8">
                  <c:v>500</c:v>
                </c:pt>
                <c:pt idx="9">
                  <c:v>450</c:v>
                </c:pt>
                <c:pt idx="10">
                  <c:v>400</c:v>
                </c:pt>
                <c:pt idx="11">
                  <c:v>392</c:v>
                </c:pt>
                <c:pt idx="12">
                  <c:v>350</c:v>
                </c:pt>
                <c:pt idx="13">
                  <c:v>350</c:v>
                </c:pt>
                <c:pt idx="14">
                  <c:v>300</c:v>
                </c:pt>
                <c:pt idx="15">
                  <c:v>300</c:v>
                </c:pt>
                <c:pt idx="16">
                  <c:v>300</c:v>
                </c:pt>
                <c:pt idx="17">
                  <c:v>300</c:v>
                </c:pt>
                <c:pt idx="18">
                  <c:v>282.30769230769232</c:v>
                </c:pt>
                <c:pt idx="19">
                  <c:v>220</c:v>
                </c:pt>
                <c:pt idx="20">
                  <c:v>200</c:v>
                </c:pt>
                <c:pt idx="21">
                  <c:v>175</c:v>
                </c:pt>
                <c:pt idx="22">
                  <c:v>170</c:v>
                </c:pt>
                <c:pt idx="23">
                  <c:v>170</c:v>
                </c:pt>
                <c:pt idx="24">
                  <c:v>170</c:v>
                </c:pt>
                <c:pt idx="25">
                  <c:v>28</c:v>
                </c:pt>
                <c:pt idx="26">
                  <c:v>23</c:v>
                </c:pt>
              </c:numCache>
            </c:numRef>
          </c:val>
          <c:extLst>
            <c:ext xmlns:c16="http://schemas.microsoft.com/office/drawing/2014/chart" uri="{C3380CC4-5D6E-409C-BE32-E72D297353CC}">
              <c16:uniqueId val="{00000000-D410-4EEE-AF10-16E4C6C9C4D9}"/>
            </c:ext>
          </c:extLst>
        </c:ser>
        <c:dLbls>
          <c:showLegendKey val="0"/>
          <c:showVal val="0"/>
          <c:showCatName val="0"/>
          <c:showSerName val="0"/>
          <c:showPercent val="0"/>
          <c:showBubbleSize val="0"/>
        </c:dLbls>
        <c:gapWidth val="219"/>
        <c:overlap val="-27"/>
        <c:axId val="355241712"/>
        <c:axId val="1897954896"/>
      </c:barChart>
      <c:catAx>
        <c:axId val="35524171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97954896"/>
        <c:crosses val="autoZero"/>
        <c:auto val="1"/>
        <c:lblAlgn val="ctr"/>
        <c:lblOffset val="100"/>
        <c:noMultiLvlLbl val="0"/>
      </c:catAx>
      <c:valAx>
        <c:axId val="1897954896"/>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552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[ai_chip_market.xlsx]lifecycle!PivotTable8</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
              </a:schemeClr>
            </a:solidFill>
            <a:ln w="9525">
              <a:solidFill>
                <a:schemeClr val="accent1">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
              </a:schemeClr>
            </a:solidFill>
            <a:ln w="9525">
              <a:solidFill>
                <a:schemeClr val="accent2">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
              </a:schemeClr>
            </a:solidFill>
            <a:ln w="9525">
              <a:solidFill>
                <a:schemeClr val="accent3">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lumMod val="60%"/>
              </a:schemeClr>
            </a:solidFill>
            <a:ln w="9525">
              <a:solidFill>
                <a:schemeClr val="accent4">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lumMod val="60%"/>
              </a:schemeClr>
            </a:solidFill>
            <a:ln w="9525">
              <a:solidFill>
                <a:schemeClr val="accent5">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6">
                <a:lumMod val="60%"/>
              </a:schemeClr>
            </a:solidFill>
            <a:ln w="9525">
              <a:solidFill>
                <a:schemeClr val="accent6">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lumMod val="80%"/>
                <a:lumOff val="20%"/>
              </a:schemeClr>
            </a:solidFill>
            <a:ln w="9525">
              <a:solidFill>
                <a:schemeClr val="accent1">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lumMod val="80%"/>
                <a:lumOff val="20%"/>
              </a:schemeClr>
            </a:solidFill>
            <a:ln w="9525">
              <a:solidFill>
                <a:schemeClr val="accent2">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lumMod val="80%"/>
                <a:lumOff val="20%"/>
              </a:schemeClr>
            </a:solidFill>
            <a:ln w="9525">
              <a:solidFill>
                <a:schemeClr val="accent3">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lumMod val="80%"/>
                <a:lumOff val="20%"/>
              </a:schemeClr>
            </a:solidFill>
            <a:ln w="9525">
              <a:solidFill>
                <a:schemeClr val="accent4">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lumMod val="80%"/>
                <a:lumOff val="20%"/>
              </a:schemeClr>
            </a:solidFill>
            <a:ln w="9525">
              <a:solidFill>
                <a:schemeClr val="accent5">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lumMod val="80%"/>
                <a:lumOff val="20%"/>
              </a:schemeClr>
            </a:solidFill>
            <a:ln w="9525">
              <a:solidFill>
                <a:schemeClr val="accent6">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lumMod val="80%"/>
              </a:schemeClr>
            </a:solidFill>
            <a:ln w="9525">
              <a:solidFill>
                <a:schemeClr val="accent1">
                  <a:lumMod val="8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lumMod val="80%"/>
              </a:schemeClr>
            </a:solidFill>
            <a:ln w="9525">
              <a:solidFill>
                <a:schemeClr val="accent2">
                  <a:lumMod val="8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lumMod val="80%"/>
              </a:schemeClr>
            </a:solidFill>
            <a:ln w="9525">
              <a:solidFill>
                <a:schemeClr val="accent3">
                  <a:lumMod val="8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4">
                <a:lumMod val="80%"/>
              </a:schemeClr>
            </a:solidFill>
            <a:ln w="9525">
              <a:solidFill>
                <a:schemeClr val="accent4">
                  <a:lumMod val="8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5">
                <a:lumMod val="80%"/>
              </a:schemeClr>
            </a:solidFill>
            <a:ln w="9525">
              <a:solidFill>
                <a:schemeClr val="accent5">
                  <a:lumMod val="8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6">
                <a:lumMod val="80%"/>
              </a:schemeClr>
            </a:solidFill>
            <a:ln w="9525">
              <a:solidFill>
                <a:schemeClr val="accent6">
                  <a:lumMod val="8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lumMod val="60%"/>
                <a:lumOff val="40%"/>
              </a:schemeClr>
            </a:solidFill>
            <a:ln w="9525">
              <a:solidFill>
                <a:schemeClr val="accent1">
                  <a:lumMod val="60%"/>
                  <a:lumOff val="4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lumMod val="60%"/>
                <a:lumOff val="40%"/>
              </a:schemeClr>
            </a:solidFill>
            <a:ln w="9525">
              <a:solidFill>
                <a:schemeClr val="accent2">
                  <a:lumMod val="60%"/>
                  <a:lumOff val="4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lumMod val="60%"/>
                <a:lumOff val="40%"/>
              </a:schemeClr>
            </a:solidFill>
            <a:ln w="9525">
              <a:solidFill>
                <a:schemeClr val="accent3">
                  <a:lumMod val="60%"/>
                  <a:lumOff val="4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lumMod val="60%"/>
                <a:lumOff val="40%"/>
              </a:schemeClr>
            </a:solidFill>
            <a:ln w="9525">
              <a:solidFill>
                <a:schemeClr val="accent4">
                  <a:lumMod val="60%"/>
                  <a:lumOff val="4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5">
                <a:lumMod val="60%"/>
                <a:lumOff val="40%"/>
              </a:schemeClr>
            </a:solidFill>
            <a:ln w="9525">
              <a:solidFill>
                <a:schemeClr val="accent5">
                  <a:lumMod val="60%"/>
                  <a:lumOff val="4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6">
                <a:lumMod val="60%"/>
                <a:lumOff val="40%"/>
              </a:schemeClr>
            </a:solidFill>
            <a:ln w="9525">
              <a:solidFill>
                <a:schemeClr val="accent6">
                  <a:lumMod val="60%"/>
                  <a:lumOff val="4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lifecycle!$B$3:$B$4</c:f>
              <c:strCache>
                <c:ptCount val="1"/>
                <c:pt idx="0">
                  <c:v>AMD MI250X</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lifecycle!$B$5:$B$15</c:f>
              <c:numCache>
                <c:formatCode>General</c:formatCode>
                <c:ptCount val="10"/>
                <c:pt idx="0">
                  <c:v>23</c:v>
                </c:pt>
                <c:pt idx="1">
                  <c:v>1030</c:v>
                </c:pt>
                <c:pt idx="2">
                  <c:v>713</c:v>
                </c:pt>
                <c:pt idx="3">
                  <c:v>354</c:v>
                </c:pt>
                <c:pt idx="4">
                  <c:v>122</c:v>
                </c:pt>
                <c:pt idx="5">
                  <c:v>159</c:v>
                </c:pt>
              </c:numCache>
            </c:numRef>
          </c:val>
          <c:smooth val="0"/>
          <c:extLst>
            <c:ext xmlns:c16="http://schemas.microsoft.com/office/drawing/2014/chart" uri="{C3380CC4-5D6E-409C-BE32-E72D297353CC}">
              <c16:uniqueId val="{00000000-6228-4CC2-8C08-F6AAD5CE271E}"/>
            </c:ext>
          </c:extLst>
        </c:ser>
        <c:ser>
          <c:idx val="1"/>
          <c:order val="1"/>
          <c:tx>
            <c:strRef>
              <c:f>lifecycle!$C$3:$C$4</c:f>
              <c:strCache>
                <c:ptCount val="1"/>
                <c:pt idx="0">
                  <c:v>AMD MI300X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lifecycle!$C$5:$C$15</c:f>
              <c:numCache>
                <c:formatCode>General</c:formatCode>
                <c:ptCount val="10"/>
                <c:pt idx="0">
                  <c:v>0</c:v>
                </c:pt>
                <c:pt idx="1">
                  <c:v>414143</c:v>
                </c:pt>
                <c:pt idx="2">
                  <c:v>369849</c:v>
                </c:pt>
                <c:pt idx="3">
                  <c:v>162122</c:v>
                </c:pt>
              </c:numCache>
            </c:numRef>
          </c:val>
          <c:smooth val="0"/>
          <c:extLst>
            <c:ext xmlns:c16="http://schemas.microsoft.com/office/drawing/2014/chart" uri="{C3380CC4-5D6E-409C-BE32-E72D297353CC}">
              <c16:uniqueId val="{0000001F-6228-4CC2-8C08-F6AAD5CE271E}"/>
            </c:ext>
          </c:extLst>
        </c:ser>
        <c:ser>
          <c:idx val="2"/>
          <c:order val="2"/>
          <c:tx>
            <c:strRef>
              <c:f>lifecycle!$D$3:$D$4</c:f>
              <c:strCache>
                <c:ptCount val="1"/>
                <c:pt idx="0">
                  <c:v>AMD MI325X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lifecycle!$D$5:$D$15</c:f>
              <c:numCache>
                <c:formatCode>General</c:formatCode>
                <c:ptCount val="10"/>
                <c:pt idx="0">
                  <c:v>2651</c:v>
                </c:pt>
                <c:pt idx="1">
                  <c:v>52331</c:v>
                </c:pt>
                <c:pt idx="2">
                  <c:v>39454</c:v>
                </c:pt>
              </c:numCache>
            </c:numRef>
          </c:val>
          <c:smooth val="0"/>
          <c:extLst>
            <c:ext xmlns:c16="http://schemas.microsoft.com/office/drawing/2014/chart" uri="{C3380CC4-5D6E-409C-BE32-E72D297353CC}">
              <c16:uniqueId val="{00000020-6228-4CC2-8C08-F6AAD5CE271E}"/>
            </c:ext>
          </c:extLst>
        </c:ser>
        <c:ser>
          <c:idx val="3"/>
          <c:order val="3"/>
          <c:tx>
            <c:strRef>
              <c:f>lifecycle!$E$3:$E$4</c:f>
              <c:strCache>
                <c:ptCount val="1"/>
                <c:pt idx="0">
                  <c:v>AMD MI350</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lifecycle!$E$5:$E$15</c:f>
              <c:numCache>
                <c:formatCode>General</c:formatCode>
                <c:ptCount val="10"/>
                <c:pt idx="0">
                  <c:v>138</c:v>
                </c:pt>
                <c:pt idx="1">
                  <c:v>1393</c:v>
                </c:pt>
              </c:numCache>
            </c:numRef>
          </c:val>
          <c:smooth val="0"/>
          <c:extLst>
            <c:ext xmlns:c16="http://schemas.microsoft.com/office/drawing/2014/chart" uri="{C3380CC4-5D6E-409C-BE32-E72D297353CC}">
              <c16:uniqueId val="{0000003C-6228-4CC2-8C08-F6AAD5CE271E}"/>
            </c:ext>
          </c:extLst>
        </c:ser>
        <c:ser>
          <c:idx val="4"/>
          <c:order val="4"/>
          <c:tx>
            <c:strRef>
              <c:f>lifecycle!$F$3:$F$4</c:f>
              <c:strCache>
                <c:ptCount val="1"/>
                <c:pt idx="0">
                  <c:v>Apple M4 (NPU)</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lifecycle!$F$5:$F$15</c:f>
              <c:numCache>
                <c:formatCode>General</c:formatCode>
                <c:ptCount val="10"/>
                <c:pt idx="0">
                  <c:v>174</c:v>
                </c:pt>
                <c:pt idx="1">
                  <c:v>1082</c:v>
                </c:pt>
                <c:pt idx="2">
                  <c:v>776</c:v>
                </c:pt>
              </c:numCache>
            </c:numRef>
          </c:val>
          <c:smooth val="0"/>
          <c:extLst>
            <c:ext xmlns:c16="http://schemas.microsoft.com/office/drawing/2014/chart" uri="{C3380CC4-5D6E-409C-BE32-E72D297353CC}">
              <c16:uniqueId val="{0000003D-6228-4CC2-8C08-F6AAD5CE271E}"/>
            </c:ext>
          </c:extLst>
        </c:ser>
        <c:ser>
          <c:idx val="5"/>
          <c:order val="5"/>
          <c:tx>
            <c:strRef>
              <c:f>lifecycle!$G$3:$G$4</c:f>
              <c:strCache>
                <c:ptCount val="1"/>
                <c:pt idx="0">
                  <c:v>Apple M5 (NPU)</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lifecycle!$G$5:$G$15</c:f>
              <c:numCache>
                <c:formatCode>General</c:formatCode>
                <c:ptCount val="10"/>
                <c:pt idx="0">
                  <c:v>47</c:v>
                </c:pt>
                <c:pt idx="1">
                  <c:v>809</c:v>
                </c:pt>
              </c:numCache>
            </c:numRef>
          </c:val>
          <c:smooth val="0"/>
          <c:extLst>
            <c:ext xmlns:c16="http://schemas.microsoft.com/office/drawing/2014/chart" uri="{C3380CC4-5D6E-409C-BE32-E72D297353CC}">
              <c16:uniqueId val="{0000003E-6228-4CC2-8C08-F6AAD5CE271E}"/>
            </c:ext>
          </c:extLst>
        </c:ser>
        <c:ser>
          <c:idx val="6"/>
          <c:order val="6"/>
          <c:tx>
            <c:strRef>
              <c:f>lifecycle!$H$3:$H$4</c:f>
              <c:strCache>
                <c:ptCount val="1"/>
                <c:pt idx="0">
                  <c:v>AWS Inferentia2</c:v>
                </c:pt>
              </c:strCache>
            </c:strRef>
          </c:tx>
          <c:spPr>
            <a:ln w="28575" cap="rnd">
              <a:solidFill>
                <a:schemeClr val="accent1">
                  <a:lumMod val="60%"/>
                </a:schemeClr>
              </a:solidFill>
              <a:round/>
            </a:ln>
            <a:effectLst/>
          </c:spPr>
          <c:marker>
            <c:symbol val="circle"/>
            <c:size val="5"/>
            <c:spPr>
              <a:solidFill>
                <a:schemeClr val="accent1">
                  <a:lumMod val="60%"/>
                </a:schemeClr>
              </a:solidFill>
              <a:ln w="9525">
                <a:solidFill>
                  <a:schemeClr val="accent1">
                    <a:lumMod val="6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lifecycle!$H$5:$H$15</c:f>
              <c:numCache>
                <c:formatCode>General</c:formatCode>
                <c:ptCount val="10"/>
                <c:pt idx="0">
                  <c:v>0</c:v>
                </c:pt>
                <c:pt idx="1">
                  <c:v>182522</c:v>
                </c:pt>
                <c:pt idx="2">
                  <c:v>111438</c:v>
                </c:pt>
                <c:pt idx="3">
                  <c:v>66238</c:v>
                </c:pt>
                <c:pt idx="4">
                  <c:v>21199</c:v>
                </c:pt>
              </c:numCache>
            </c:numRef>
          </c:val>
          <c:smooth val="0"/>
          <c:extLst>
            <c:ext xmlns:c16="http://schemas.microsoft.com/office/drawing/2014/chart" uri="{C3380CC4-5D6E-409C-BE32-E72D297353CC}">
              <c16:uniqueId val="{0000003F-6228-4CC2-8C08-F6AAD5CE271E}"/>
            </c:ext>
          </c:extLst>
        </c:ser>
        <c:ser>
          <c:idx val="7"/>
          <c:order val="7"/>
          <c:tx>
            <c:strRef>
              <c:f>lifecycle!$I$3:$I$4</c:f>
              <c:strCache>
                <c:ptCount val="1"/>
                <c:pt idx="0">
                  <c:v>AWS Trainium2</c:v>
                </c:pt>
              </c:strCache>
            </c:strRef>
          </c:tx>
          <c:spPr>
            <a:ln w="28575" cap="rnd">
              <a:solidFill>
                <a:schemeClr val="accent2">
                  <a:lumMod val="60%"/>
                </a:schemeClr>
              </a:solidFill>
              <a:round/>
            </a:ln>
            <a:effectLst/>
          </c:spPr>
          <c:marker>
            <c:symbol val="circle"/>
            <c:size val="5"/>
            <c:spPr>
              <a:solidFill>
                <a:schemeClr val="accent2">
                  <a:lumMod val="60%"/>
                </a:schemeClr>
              </a:solidFill>
              <a:ln w="9525">
                <a:solidFill>
                  <a:schemeClr val="accent2">
                    <a:lumMod val="6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lifecycle!$I$5:$I$15</c:f>
              <c:numCache>
                <c:formatCode>General</c:formatCode>
                <c:ptCount val="10"/>
                <c:pt idx="0">
                  <c:v>0</c:v>
                </c:pt>
                <c:pt idx="1">
                  <c:v>67686</c:v>
                </c:pt>
                <c:pt idx="2">
                  <c:v>82503</c:v>
                </c:pt>
              </c:numCache>
            </c:numRef>
          </c:val>
          <c:smooth val="0"/>
          <c:extLst>
            <c:ext xmlns:c16="http://schemas.microsoft.com/office/drawing/2014/chart" uri="{C3380CC4-5D6E-409C-BE32-E72D297353CC}">
              <c16:uniqueId val="{00000040-6228-4CC2-8C08-F6AAD5CE271E}"/>
            </c:ext>
          </c:extLst>
        </c:ser>
        <c:ser>
          <c:idx val="8"/>
          <c:order val="8"/>
          <c:tx>
            <c:strRef>
              <c:f>lifecycle!$J$3:$J$4</c:f>
              <c:strCache>
                <c:ptCount val="1"/>
                <c:pt idx="0">
                  <c:v>Cambricon MLU370</c:v>
                </c:pt>
              </c:strCache>
            </c:strRef>
          </c:tx>
          <c:spPr>
            <a:ln w="28575" cap="rnd">
              <a:solidFill>
                <a:schemeClr val="accent3">
                  <a:lumMod val="60%"/>
                </a:schemeClr>
              </a:solidFill>
              <a:round/>
            </a:ln>
            <a:effectLst/>
          </c:spPr>
          <c:marker>
            <c:symbol val="circle"/>
            <c:size val="5"/>
            <c:spPr>
              <a:solidFill>
                <a:schemeClr val="accent3">
                  <a:lumMod val="60%"/>
                </a:schemeClr>
              </a:solidFill>
              <a:ln w="9525">
                <a:solidFill>
                  <a:schemeClr val="accent3">
                    <a:lumMod val="6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lifecycle!$J$5:$J$15</c:f>
              <c:numCache>
                <c:formatCode>General</c:formatCode>
                <c:ptCount val="10"/>
                <c:pt idx="0">
                  <c:v>32</c:v>
                </c:pt>
                <c:pt idx="1">
                  <c:v>1041</c:v>
                </c:pt>
                <c:pt idx="2">
                  <c:v>846</c:v>
                </c:pt>
                <c:pt idx="3">
                  <c:v>381</c:v>
                </c:pt>
                <c:pt idx="4">
                  <c:v>146</c:v>
                </c:pt>
                <c:pt idx="5">
                  <c:v>173</c:v>
                </c:pt>
              </c:numCache>
            </c:numRef>
          </c:val>
          <c:smooth val="0"/>
          <c:extLst>
            <c:ext xmlns:c16="http://schemas.microsoft.com/office/drawing/2014/chart" uri="{C3380CC4-5D6E-409C-BE32-E72D297353CC}">
              <c16:uniqueId val="{00000041-6228-4CC2-8C08-F6AAD5CE271E}"/>
            </c:ext>
          </c:extLst>
        </c:ser>
        <c:ser>
          <c:idx val="9"/>
          <c:order val="9"/>
          <c:tx>
            <c:strRef>
              <c:f>lifecycle!$K$3:$K$4</c:f>
              <c:strCache>
                <c:ptCount val="1"/>
                <c:pt idx="0">
                  <c:v>Cerebras WSE-3</c:v>
                </c:pt>
              </c:strCache>
            </c:strRef>
          </c:tx>
          <c:spPr>
            <a:ln w="28575" cap="rnd">
              <a:solidFill>
                <a:schemeClr val="accent4">
                  <a:lumMod val="60%"/>
                </a:schemeClr>
              </a:solidFill>
              <a:round/>
            </a:ln>
            <a:effectLst/>
          </c:spPr>
          <c:marker>
            <c:symbol val="circle"/>
            <c:size val="5"/>
            <c:spPr>
              <a:solidFill>
                <a:schemeClr val="accent4">
                  <a:lumMod val="60%"/>
                </a:schemeClr>
              </a:solidFill>
              <a:ln w="9525">
                <a:solidFill>
                  <a:schemeClr val="accent4">
                    <a:lumMod val="6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lifecycle!$K$5:$K$15</c:f>
              <c:numCache>
                <c:formatCode>General</c:formatCode>
                <c:ptCount val="10"/>
                <c:pt idx="0">
                  <c:v>228</c:v>
                </c:pt>
                <c:pt idx="1">
                  <c:v>1116</c:v>
                </c:pt>
                <c:pt idx="2">
                  <c:v>746</c:v>
                </c:pt>
              </c:numCache>
            </c:numRef>
          </c:val>
          <c:smooth val="0"/>
          <c:extLst>
            <c:ext xmlns:c16="http://schemas.microsoft.com/office/drawing/2014/chart" uri="{C3380CC4-5D6E-409C-BE32-E72D297353CC}">
              <c16:uniqueId val="{00000042-6228-4CC2-8C08-F6AAD5CE271E}"/>
            </c:ext>
          </c:extLst>
        </c:ser>
        <c:ser>
          <c:idx val="10"/>
          <c:order val="10"/>
          <c:tx>
            <c:strRef>
              <c:f>lifecycle!$L$3:$L$4</c:f>
              <c:strCache>
                <c:ptCount val="1"/>
                <c:pt idx="0">
                  <c:v>Google TPU v3</c:v>
                </c:pt>
              </c:strCache>
            </c:strRef>
          </c:tx>
          <c:spPr>
            <a:ln w="28575" cap="rnd">
              <a:solidFill>
                <a:schemeClr val="accent5">
                  <a:lumMod val="60%"/>
                </a:schemeClr>
              </a:solidFill>
              <a:round/>
            </a:ln>
            <a:effectLst/>
          </c:spPr>
          <c:marker>
            <c:symbol val="circle"/>
            <c:size val="5"/>
            <c:spPr>
              <a:solidFill>
                <a:schemeClr val="accent5">
                  <a:lumMod val="60%"/>
                </a:schemeClr>
              </a:solidFill>
              <a:ln w="9525">
                <a:solidFill>
                  <a:schemeClr val="accent5">
                    <a:lumMod val="6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lifecycle!$L$5:$L$15</c:f>
              <c:numCache>
                <c:formatCode>General</c:formatCode>
                <c:ptCount val="10"/>
                <c:pt idx="2">
                  <c:v>747</c:v>
                </c:pt>
                <c:pt idx="3">
                  <c:v>361</c:v>
                </c:pt>
                <c:pt idx="4">
                  <c:v>160</c:v>
                </c:pt>
                <c:pt idx="5">
                  <c:v>155</c:v>
                </c:pt>
                <c:pt idx="6">
                  <c:v>121</c:v>
                </c:pt>
                <c:pt idx="7">
                  <c:v>177</c:v>
                </c:pt>
                <c:pt idx="8">
                  <c:v>147</c:v>
                </c:pt>
              </c:numCache>
            </c:numRef>
          </c:val>
          <c:smooth val="0"/>
          <c:extLst>
            <c:ext xmlns:c16="http://schemas.microsoft.com/office/drawing/2014/chart" uri="{C3380CC4-5D6E-409C-BE32-E72D297353CC}">
              <c16:uniqueId val="{00000043-6228-4CC2-8C08-F6AAD5CE271E}"/>
            </c:ext>
          </c:extLst>
        </c:ser>
        <c:ser>
          <c:idx val="11"/>
          <c:order val="11"/>
          <c:tx>
            <c:strRef>
              <c:f>lifecycle!$M$3:$M$4</c:f>
              <c:strCache>
                <c:ptCount val="1"/>
                <c:pt idx="0">
                  <c:v>Google TPU v4</c:v>
                </c:pt>
              </c:strCache>
            </c:strRef>
          </c:tx>
          <c:spPr>
            <a:ln w="28575" cap="rnd">
              <a:solidFill>
                <a:schemeClr val="accent6">
                  <a:lumMod val="60%"/>
                </a:schemeClr>
              </a:solidFill>
              <a:round/>
            </a:ln>
            <a:effectLst/>
          </c:spPr>
          <c:marker>
            <c:symbol val="circle"/>
            <c:size val="5"/>
            <c:spPr>
              <a:solidFill>
                <a:schemeClr val="accent6">
                  <a:lumMod val="60%"/>
                </a:schemeClr>
              </a:solidFill>
              <a:ln w="9525">
                <a:solidFill>
                  <a:schemeClr val="accent6">
                    <a:lumMod val="6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lifecycle!$M$5:$M$15</c:f>
              <c:numCache>
                <c:formatCode>General</c:formatCode>
                <c:ptCount val="10"/>
                <c:pt idx="0">
                  <c:v>148</c:v>
                </c:pt>
                <c:pt idx="1">
                  <c:v>1195</c:v>
                </c:pt>
                <c:pt idx="2">
                  <c:v>878</c:v>
                </c:pt>
                <c:pt idx="3">
                  <c:v>330</c:v>
                </c:pt>
                <c:pt idx="4">
                  <c:v>195</c:v>
                </c:pt>
                <c:pt idx="5">
                  <c:v>165</c:v>
                </c:pt>
              </c:numCache>
            </c:numRef>
          </c:val>
          <c:smooth val="0"/>
          <c:extLst>
            <c:ext xmlns:c16="http://schemas.microsoft.com/office/drawing/2014/chart" uri="{C3380CC4-5D6E-409C-BE32-E72D297353CC}">
              <c16:uniqueId val="{00000044-6228-4CC2-8C08-F6AAD5CE271E}"/>
            </c:ext>
          </c:extLst>
        </c:ser>
        <c:ser>
          <c:idx val="12"/>
          <c:order val="12"/>
          <c:tx>
            <c:strRef>
              <c:f>lifecycle!$N$3:$N$4</c:f>
              <c:strCache>
                <c:ptCount val="1"/>
                <c:pt idx="0">
                  <c:v>Google TPU v5e</c:v>
                </c:pt>
              </c:strCache>
            </c:strRef>
          </c:tx>
          <c:spPr>
            <a:ln w="28575" cap="rnd">
              <a:solidFill>
                <a:schemeClr val="accent1">
                  <a:lumMod val="80%"/>
                  <a:lumOff val="20%"/>
                </a:schemeClr>
              </a:solidFill>
              <a:round/>
            </a:ln>
            <a:effectLst/>
          </c:spPr>
          <c:marker>
            <c:symbol val="circle"/>
            <c:size val="5"/>
            <c:spPr>
              <a:solidFill>
                <a:schemeClr val="accent1">
                  <a:lumMod val="80%"/>
                  <a:lumOff val="20%"/>
                </a:schemeClr>
              </a:solidFill>
              <a:ln w="9525">
                <a:solidFill>
                  <a:schemeClr val="accent1">
                    <a:lumMod val="80%"/>
                    <a:lumOff val="2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lifecycle!$N$5:$N$15</c:f>
              <c:numCache>
                <c:formatCode>General</c:formatCode>
                <c:ptCount val="10"/>
                <c:pt idx="0">
                  <c:v>59908</c:v>
                </c:pt>
                <c:pt idx="1">
                  <c:v>761631</c:v>
                </c:pt>
                <c:pt idx="2">
                  <c:v>491607</c:v>
                </c:pt>
                <c:pt idx="3">
                  <c:v>238991</c:v>
                </c:pt>
              </c:numCache>
            </c:numRef>
          </c:val>
          <c:smooth val="0"/>
          <c:extLst>
            <c:ext xmlns:c16="http://schemas.microsoft.com/office/drawing/2014/chart" uri="{C3380CC4-5D6E-409C-BE32-E72D297353CC}">
              <c16:uniqueId val="{00000045-6228-4CC2-8C08-F6AAD5CE271E}"/>
            </c:ext>
          </c:extLst>
        </c:ser>
        <c:ser>
          <c:idx val="13"/>
          <c:order val="13"/>
          <c:tx>
            <c:strRef>
              <c:f>lifecycle!$O$3:$O$4</c:f>
              <c:strCache>
                <c:ptCount val="1"/>
                <c:pt idx="0">
                  <c:v>Google TPU v5p</c:v>
                </c:pt>
              </c:strCache>
            </c:strRef>
          </c:tx>
          <c:spPr>
            <a:ln w="28575" cap="rnd">
              <a:solidFill>
                <a:schemeClr val="accent2">
                  <a:lumMod val="80%"/>
                  <a:lumOff val="20%"/>
                </a:schemeClr>
              </a:solidFill>
              <a:round/>
            </a:ln>
            <a:effectLst/>
          </c:spPr>
          <c:marker>
            <c:symbol val="circle"/>
            <c:size val="5"/>
            <c:spPr>
              <a:solidFill>
                <a:schemeClr val="accent2">
                  <a:lumMod val="80%"/>
                  <a:lumOff val="20%"/>
                </a:schemeClr>
              </a:solidFill>
              <a:ln w="9525">
                <a:solidFill>
                  <a:schemeClr val="accent2">
                    <a:lumMod val="80%"/>
                    <a:lumOff val="2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lifecycle!$O$5:$O$15</c:f>
              <c:numCache>
                <c:formatCode>General</c:formatCode>
                <c:ptCount val="10"/>
                <c:pt idx="0">
                  <c:v>0</c:v>
                </c:pt>
                <c:pt idx="1">
                  <c:v>272799</c:v>
                </c:pt>
                <c:pt idx="2">
                  <c:v>214821</c:v>
                </c:pt>
                <c:pt idx="3">
                  <c:v>100220</c:v>
                </c:pt>
              </c:numCache>
            </c:numRef>
          </c:val>
          <c:smooth val="0"/>
          <c:extLst>
            <c:ext xmlns:c16="http://schemas.microsoft.com/office/drawing/2014/chart" uri="{C3380CC4-5D6E-409C-BE32-E72D297353CC}">
              <c16:uniqueId val="{00000046-6228-4CC2-8C08-F6AAD5CE271E}"/>
            </c:ext>
          </c:extLst>
        </c:ser>
        <c:ser>
          <c:idx val="14"/>
          <c:order val="14"/>
          <c:tx>
            <c:strRef>
              <c:f>lifecycle!$P$3:$P$4</c:f>
              <c:strCache>
                <c:ptCount val="1"/>
                <c:pt idx="0">
                  <c:v>Google TPU v6 Trillium</c:v>
                </c:pt>
              </c:strCache>
            </c:strRef>
          </c:tx>
          <c:spPr>
            <a:ln w="28575" cap="rnd">
              <a:solidFill>
                <a:schemeClr val="accent3">
                  <a:lumMod val="80%"/>
                  <a:lumOff val="20%"/>
                </a:schemeClr>
              </a:solidFill>
              <a:round/>
            </a:ln>
            <a:effectLst/>
          </c:spPr>
          <c:marker>
            <c:symbol val="circle"/>
            <c:size val="5"/>
            <c:spPr>
              <a:solidFill>
                <a:schemeClr val="accent3">
                  <a:lumMod val="80%"/>
                  <a:lumOff val="20%"/>
                </a:schemeClr>
              </a:solidFill>
              <a:ln w="9525">
                <a:solidFill>
                  <a:schemeClr val="accent3">
                    <a:lumMod val="80%"/>
                    <a:lumOff val="2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lifecycle!$P$5:$P$15</c:f>
              <c:numCache>
                <c:formatCode>General</c:formatCode>
                <c:ptCount val="10"/>
                <c:pt idx="0">
                  <c:v>46633</c:v>
                </c:pt>
                <c:pt idx="1">
                  <c:v>305904</c:v>
                </c:pt>
                <c:pt idx="2">
                  <c:v>237500</c:v>
                </c:pt>
              </c:numCache>
            </c:numRef>
          </c:val>
          <c:smooth val="0"/>
          <c:extLst>
            <c:ext xmlns:c16="http://schemas.microsoft.com/office/drawing/2014/chart" uri="{C3380CC4-5D6E-409C-BE32-E72D297353CC}">
              <c16:uniqueId val="{00000047-6228-4CC2-8C08-F6AAD5CE271E}"/>
            </c:ext>
          </c:extLst>
        </c:ser>
        <c:ser>
          <c:idx val="15"/>
          <c:order val="15"/>
          <c:tx>
            <c:strRef>
              <c:f>lifecycle!$Q$3:$Q$4</c:f>
              <c:strCache>
                <c:ptCount val="1"/>
                <c:pt idx="0">
                  <c:v>Google TPU v7</c:v>
                </c:pt>
              </c:strCache>
            </c:strRef>
          </c:tx>
          <c:spPr>
            <a:ln w="28575" cap="rnd">
              <a:solidFill>
                <a:schemeClr val="accent4">
                  <a:lumMod val="80%"/>
                  <a:lumOff val="20%"/>
                </a:schemeClr>
              </a:solidFill>
              <a:round/>
            </a:ln>
            <a:effectLst/>
          </c:spPr>
          <c:marker>
            <c:symbol val="circle"/>
            <c:size val="5"/>
            <c:spPr>
              <a:solidFill>
                <a:schemeClr val="accent4">
                  <a:lumMod val="80%"/>
                  <a:lumOff val="20%"/>
                </a:schemeClr>
              </a:solidFill>
              <a:ln w="9525">
                <a:solidFill>
                  <a:schemeClr val="accent4">
                    <a:lumMod val="80%"/>
                    <a:lumOff val="2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lifecycle!$Q$5:$Q$15</c:f>
              <c:numCache>
                <c:formatCode>General</c:formatCode>
                <c:ptCount val="10"/>
                <c:pt idx="0">
                  <c:v>0</c:v>
                </c:pt>
                <c:pt idx="1">
                  <c:v>801</c:v>
                </c:pt>
              </c:numCache>
            </c:numRef>
          </c:val>
          <c:smooth val="0"/>
          <c:extLst>
            <c:ext xmlns:c16="http://schemas.microsoft.com/office/drawing/2014/chart" uri="{C3380CC4-5D6E-409C-BE32-E72D297353CC}">
              <c16:uniqueId val="{00000048-6228-4CC2-8C08-F6AAD5CE271E}"/>
            </c:ext>
          </c:extLst>
        </c:ser>
        <c:ser>
          <c:idx val="16"/>
          <c:order val="16"/>
          <c:tx>
            <c:strRef>
              <c:f>lifecycle!$R$3:$R$4</c:f>
              <c:strCache>
                <c:ptCount val="1"/>
                <c:pt idx="0">
                  <c:v>Groq LPU</c:v>
                </c:pt>
              </c:strCache>
            </c:strRef>
          </c:tx>
          <c:spPr>
            <a:ln w="28575" cap="rnd">
              <a:solidFill>
                <a:schemeClr val="accent5">
                  <a:lumMod val="80%"/>
                  <a:lumOff val="20%"/>
                </a:schemeClr>
              </a:solidFill>
              <a:round/>
            </a:ln>
            <a:effectLst/>
          </c:spPr>
          <c:marker>
            <c:symbol val="circle"/>
            <c:size val="5"/>
            <c:spPr>
              <a:solidFill>
                <a:schemeClr val="accent5">
                  <a:lumMod val="80%"/>
                  <a:lumOff val="20%"/>
                </a:schemeClr>
              </a:solidFill>
              <a:ln w="9525">
                <a:solidFill>
                  <a:schemeClr val="accent5">
                    <a:lumMod val="80%"/>
                    <a:lumOff val="2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lifecycle!$R$5:$R$15</c:f>
              <c:numCache>
                <c:formatCode>General</c:formatCode>
                <c:ptCount val="10"/>
                <c:pt idx="0">
                  <c:v>8709</c:v>
                </c:pt>
                <c:pt idx="1">
                  <c:v>25845</c:v>
                </c:pt>
                <c:pt idx="2">
                  <c:v>25084</c:v>
                </c:pt>
              </c:numCache>
            </c:numRef>
          </c:val>
          <c:smooth val="0"/>
          <c:extLst>
            <c:ext xmlns:c16="http://schemas.microsoft.com/office/drawing/2014/chart" uri="{C3380CC4-5D6E-409C-BE32-E72D297353CC}">
              <c16:uniqueId val="{00000049-6228-4CC2-8C08-F6AAD5CE271E}"/>
            </c:ext>
          </c:extLst>
        </c:ser>
        <c:ser>
          <c:idx val="17"/>
          <c:order val="17"/>
          <c:tx>
            <c:strRef>
              <c:f>lifecycle!$S$3:$S$4</c:f>
              <c:strCache>
                <c:ptCount val="1"/>
                <c:pt idx="0">
                  <c:v>Huawei Ascend 910</c:v>
                </c:pt>
              </c:strCache>
            </c:strRef>
          </c:tx>
          <c:spPr>
            <a:ln w="28575" cap="rnd">
              <a:solidFill>
                <a:schemeClr val="accent6">
                  <a:lumMod val="80%"/>
                  <a:lumOff val="20%"/>
                </a:schemeClr>
              </a:solidFill>
              <a:round/>
            </a:ln>
            <a:effectLst/>
          </c:spPr>
          <c:marker>
            <c:symbol val="circle"/>
            <c:size val="5"/>
            <c:spPr>
              <a:solidFill>
                <a:schemeClr val="accent6">
                  <a:lumMod val="80%"/>
                  <a:lumOff val="20%"/>
                </a:schemeClr>
              </a:solidFill>
              <a:ln w="9525">
                <a:solidFill>
                  <a:schemeClr val="accent6">
                    <a:lumMod val="80%"/>
                    <a:lumOff val="2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lifecycle!$S$5:$S$15</c:f>
              <c:numCache>
                <c:formatCode>General</c:formatCode>
                <c:ptCount val="10"/>
                <c:pt idx="1">
                  <c:v>1077</c:v>
                </c:pt>
                <c:pt idx="2">
                  <c:v>812</c:v>
                </c:pt>
                <c:pt idx="3">
                  <c:v>337</c:v>
                </c:pt>
                <c:pt idx="4">
                  <c:v>168</c:v>
                </c:pt>
                <c:pt idx="5">
                  <c:v>124</c:v>
                </c:pt>
                <c:pt idx="6">
                  <c:v>178</c:v>
                </c:pt>
                <c:pt idx="7">
                  <c:v>230</c:v>
                </c:pt>
              </c:numCache>
            </c:numRef>
          </c:val>
          <c:smooth val="0"/>
          <c:extLst>
            <c:ext xmlns:c16="http://schemas.microsoft.com/office/drawing/2014/chart" uri="{C3380CC4-5D6E-409C-BE32-E72D297353CC}">
              <c16:uniqueId val="{0000004A-6228-4CC2-8C08-F6AAD5CE271E}"/>
            </c:ext>
          </c:extLst>
        </c:ser>
        <c:ser>
          <c:idx val="18"/>
          <c:order val="18"/>
          <c:tx>
            <c:strRef>
              <c:f>lifecycle!$T$3:$T$4</c:f>
              <c:strCache>
                <c:ptCount val="1"/>
                <c:pt idx="0">
                  <c:v>Huawei Ascend 910B</c:v>
                </c:pt>
              </c:strCache>
            </c:strRef>
          </c:tx>
          <c:spPr>
            <a:ln w="28575" cap="rnd">
              <a:solidFill>
                <a:schemeClr val="accent1">
                  <a:lumMod val="80%"/>
                </a:schemeClr>
              </a:solidFill>
              <a:round/>
            </a:ln>
            <a:effectLst/>
          </c:spPr>
          <c:marker>
            <c:symbol val="circle"/>
            <c:size val="5"/>
            <c:spPr>
              <a:solidFill>
                <a:schemeClr val="accent1">
                  <a:lumMod val="80%"/>
                </a:schemeClr>
              </a:solidFill>
              <a:ln w="9525">
                <a:solidFill>
                  <a:schemeClr val="accent1">
                    <a:lumMod val="8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lifecycle!$T$5:$T$15</c:f>
              <c:numCache>
                <c:formatCode>General</c:formatCode>
                <c:ptCount val="10"/>
                <c:pt idx="0">
                  <c:v>31695</c:v>
                </c:pt>
                <c:pt idx="1">
                  <c:v>327421</c:v>
                </c:pt>
                <c:pt idx="2">
                  <c:v>222897</c:v>
                </c:pt>
                <c:pt idx="3">
                  <c:v>91465</c:v>
                </c:pt>
              </c:numCache>
            </c:numRef>
          </c:val>
          <c:smooth val="0"/>
          <c:extLst>
            <c:ext xmlns:c16="http://schemas.microsoft.com/office/drawing/2014/chart" uri="{C3380CC4-5D6E-409C-BE32-E72D297353CC}">
              <c16:uniqueId val="{0000004B-6228-4CC2-8C08-F6AAD5CE271E}"/>
            </c:ext>
          </c:extLst>
        </c:ser>
        <c:ser>
          <c:idx val="19"/>
          <c:order val="19"/>
          <c:tx>
            <c:strRef>
              <c:f>lifecycle!$U$3:$U$4</c:f>
              <c:strCache>
                <c:ptCount val="1"/>
                <c:pt idx="0">
                  <c:v>Huawei Ascend 910C</c:v>
                </c:pt>
              </c:strCache>
            </c:strRef>
          </c:tx>
          <c:spPr>
            <a:ln w="28575" cap="rnd">
              <a:solidFill>
                <a:schemeClr val="accent2">
                  <a:lumMod val="80%"/>
                </a:schemeClr>
              </a:solidFill>
              <a:round/>
            </a:ln>
            <a:effectLst/>
          </c:spPr>
          <c:marker>
            <c:symbol val="circle"/>
            <c:size val="5"/>
            <c:spPr>
              <a:solidFill>
                <a:schemeClr val="accent2">
                  <a:lumMod val="80%"/>
                </a:schemeClr>
              </a:solidFill>
              <a:ln w="9525">
                <a:solidFill>
                  <a:schemeClr val="accent2">
                    <a:lumMod val="8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lifecycle!$U$5:$U$15</c:f>
              <c:numCache>
                <c:formatCode>General</c:formatCode>
                <c:ptCount val="10"/>
                <c:pt idx="0">
                  <c:v>3425</c:v>
                </c:pt>
                <c:pt idx="1">
                  <c:v>42439</c:v>
                </c:pt>
                <c:pt idx="2">
                  <c:v>32195</c:v>
                </c:pt>
              </c:numCache>
            </c:numRef>
          </c:val>
          <c:smooth val="0"/>
          <c:extLst>
            <c:ext xmlns:c16="http://schemas.microsoft.com/office/drawing/2014/chart" uri="{C3380CC4-5D6E-409C-BE32-E72D297353CC}">
              <c16:uniqueId val="{0000004C-6228-4CC2-8C08-F6AAD5CE271E}"/>
            </c:ext>
          </c:extLst>
        </c:ser>
        <c:ser>
          <c:idx val="20"/>
          <c:order val="20"/>
          <c:tx>
            <c:strRef>
              <c:f>lifecycle!$V$3:$V$4</c:f>
              <c:strCache>
                <c:ptCount val="1"/>
                <c:pt idx="0">
                  <c:v>NVIDIA A100</c:v>
                </c:pt>
              </c:strCache>
            </c:strRef>
          </c:tx>
          <c:spPr>
            <a:ln w="28575" cap="rnd">
              <a:solidFill>
                <a:schemeClr val="accent3">
                  <a:lumMod val="80%"/>
                </a:schemeClr>
              </a:solidFill>
              <a:round/>
            </a:ln>
            <a:effectLst/>
          </c:spPr>
          <c:marker>
            <c:symbol val="circle"/>
            <c:size val="5"/>
            <c:spPr>
              <a:solidFill>
                <a:schemeClr val="accent3">
                  <a:lumMod val="80%"/>
                </a:schemeClr>
              </a:solidFill>
              <a:ln w="9525">
                <a:solidFill>
                  <a:schemeClr val="accent3">
                    <a:lumMod val="8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lifecycle!$V$5:$V$15</c:f>
              <c:numCache>
                <c:formatCode>General</c:formatCode>
                <c:ptCount val="10"/>
                <c:pt idx="0">
                  <c:v>32054</c:v>
                </c:pt>
                <c:pt idx="1">
                  <c:v>204990</c:v>
                </c:pt>
                <c:pt idx="2">
                  <c:v>145343</c:v>
                </c:pt>
                <c:pt idx="3">
                  <c:v>76814</c:v>
                </c:pt>
                <c:pt idx="4">
                  <c:v>28956</c:v>
                </c:pt>
                <c:pt idx="5">
                  <c:v>26870</c:v>
                </c:pt>
                <c:pt idx="6">
                  <c:v>32264</c:v>
                </c:pt>
              </c:numCache>
            </c:numRef>
          </c:val>
          <c:smooth val="0"/>
          <c:extLst>
            <c:ext xmlns:c16="http://schemas.microsoft.com/office/drawing/2014/chart" uri="{C3380CC4-5D6E-409C-BE32-E72D297353CC}">
              <c16:uniqueId val="{0000004D-6228-4CC2-8C08-F6AAD5CE271E}"/>
            </c:ext>
          </c:extLst>
        </c:ser>
        <c:ser>
          <c:idx val="21"/>
          <c:order val="21"/>
          <c:tx>
            <c:strRef>
              <c:f>lifecycle!$W$3:$W$4</c:f>
              <c:strCache>
                <c:ptCount val="1"/>
                <c:pt idx="0">
                  <c:v>NVIDIA B200</c:v>
                </c:pt>
              </c:strCache>
            </c:strRef>
          </c:tx>
          <c:spPr>
            <a:ln w="28575" cap="rnd">
              <a:solidFill>
                <a:schemeClr val="accent4">
                  <a:lumMod val="80%"/>
                </a:schemeClr>
              </a:solidFill>
              <a:round/>
            </a:ln>
            <a:effectLst/>
          </c:spPr>
          <c:marker>
            <c:symbol val="circle"/>
            <c:size val="5"/>
            <c:spPr>
              <a:solidFill>
                <a:schemeClr val="accent4">
                  <a:lumMod val="80%"/>
                </a:schemeClr>
              </a:solidFill>
              <a:ln w="9525">
                <a:solidFill>
                  <a:schemeClr val="accent4">
                    <a:lumMod val="8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lifecycle!$W$5:$W$15</c:f>
              <c:numCache>
                <c:formatCode>General</c:formatCode>
                <c:ptCount val="10"/>
                <c:pt idx="0">
                  <c:v>5165</c:v>
                </c:pt>
                <c:pt idx="1">
                  <c:v>126650</c:v>
                </c:pt>
                <c:pt idx="2">
                  <c:v>86084</c:v>
                </c:pt>
              </c:numCache>
            </c:numRef>
          </c:val>
          <c:smooth val="0"/>
          <c:extLst>
            <c:ext xmlns:c16="http://schemas.microsoft.com/office/drawing/2014/chart" uri="{C3380CC4-5D6E-409C-BE32-E72D297353CC}">
              <c16:uniqueId val="{0000004E-6228-4CC2-8C08-F6AAD5CE271E}"/>
            </c:ext>
          </c:extLst>
        </c:ser>
        <c:ser>
          <c:idx val="22"/>
          <c:order val="22"/>
          <c:tx>
            <c:strRef>
              <c:f>lifecycle!$X$3:$X$4</c:f>
              <c:strCache>
                <c:ptCount val="1"/>
                <c:pt idx="0">
                  <c:v>NVIDIA B300</c:v>
                </c:pt>
              </c:strCache>
            </c:strRef>
          </c:tx>
          <c:spPr>
            <a:ln w="28575" cap="rnd">
              <a:solidFill>
                <a:schemeClr val="accent5">
                  <a:lumMod val="80%"/>
                </a:schemeClr>
              </a:solidFill>
              <a:round/>
            </a:ln>
            <a:effectLst/>
          </c:spPr>
          <c:marker>
            <c:symbol val="circle"/>
            <c:size val="5"/>
            <c:spPr>
              <a:solidFill>
                <a:schemeClr val="accent5">
                  <a:lumMod val="80%"/>
                </a:schemeClr>
              </a:solidFill>
              <a:ln w="9525">
                <a:solidFill>
                  <a:schemeClr val="accent5">
                    <a:lumMod val="8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lifecycle!$X$5:$X$15</c:f>
              <c:numCache>
                <c:formatCode>General</c:formatCode>
                <c:ptCount val="10"/>
                <c:pt idx="0">
                  <c:v>0</c:v>
                </c:pt>
                <c:pt idx="1">
                  <c:v>888</c:v>
                </c:pt>
              </c:numCache>
            </c:numRef>
          </c:val>
          <c:smooth val="0"/>
          <c:extLst>
            <c:ext xmlns:c16="http://schemas.microsoft.com/office/drawing/2014/chart" uri="{C3380CC4-5D6E-409C-BE32-E72D297353CC}">
              <c16:uniqueId val="{0000004F-6228-4CC2-8C08-F6AAD5CE271E}"/>
            </c:ext>
          </c:extLst>
        </c:ser>
        <c:ser>
          <c:idx val="23"/>
          <c:order val="23"/>
          <c:tx>
            <c:strRef>
              <c:f>lifecycle!$Y$3:$Y$4</c:f>
              <c:strCache>
                <c:ptCount val="1"/>
                <c:pt idx="0">
                  <c:v>NVIDIA GB200</c:v>
                </c:pt>
              </c:strCache>
            </c:strRef>
          </c:tx>
          <c:spPr>
            <a:ln w="28575" cap="rnd">
              <a:solidFill>
                <a:schemeClr val="accent6">
                  <a:lumMod val="80%"/>
                </a:schemeClr>
              </a:solidFill>
              <a:round/>
            </a:ln>
            <a:effectLst/>
          </c:spPr>
          <c:marker>
            <c:symbol val="circle"/>
            <c:size val="5"/>
            <c:spPr>
              <a:solidFill>
                <a:schemeClr val="accent6">
                  <a:lumMod val="80%"/>
                </a:schemeClr>
              </a:solidFill>
              <a:ln w="9525">
                <a:solidFill>
                  <a:schemeClr val="accent6">
                    <a:lumMod val="8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lifecycle!$Y$5:$Y$15</c:f>
              <c:numCache>
                <c:formatCode>General</c:formatCode>
                <c:ptCount val="10"/>
                <c:pt idx="0">
                  <c:v>2564</c:v>
                </c:pt>
                <c:pt idx="1">
                  <c:v>45968</c:v>
                </c:pt>
                <c:pt idx="2">
                  <c:v>40186</c:v>
                </c:pt>
              </c:numCache>
            </c:numRef>
          </c:val>
          <c:smooth val="0"/>
          <c:extLst>
            <c:ext xmlns:c16="http://schemas.microsoft.com/office/drawing/2014/chart" uri="{C3380CC4-5D6E-409C-BE32-E72D297353CC}">
              <c16:uniqueId val="{00000050-6228-4CC2-8C08-F6AAD5CE271E}"/>
            </c:ext>
          </c:extLst>
        </c:ser>
        <c:ser>
          <c:idx val="24"/>
          <c:order val="24"/>
          <c:tx>
            <c:strRef>
              <c:f>lifecycle!$Z$3:$Z$4</c:f>
              <c:strCache>
                <c:ptCount val="1"/>
                <c:pt idx="0">
                  <c:v>NVIDIA H100</c:v>
                </c:pt>
              </c:strCache>
            </c:strRef>
          </c:tx>
          <c:spPr>
            <a:ln w="28575" cap="rnd">
              <a:solidFill>
                <a:schemeClr val="accent1">
                  <a:lumMod val="60%"/>
                  <a:lumOff val="40%"/>
                </a:schemeClr>
              </a:solidFill>
              <a:round/>
            </a:ln>
            <a:effectLst/>
          </c:spPr>
          <c:marker>
            <c:symbol val="circle"/>
            <c:size val="5"/>
            <c:spPr>
              <a:solidFill>
                <a:schemeClr val="accent1">
                  <a:lumMod val="60%"/>
                  <a:lumOff val="40%"/>
                </a:schemeClr>
              </a:solidFill>
              <a:ln w="9525">
                <a:solidFill>
                  <a:schemeClr val="accent1">
                    <a:lumMod val="60%"/>
                    <a:lumOff val="4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lifecycle!$Z$5:$Z$15</c:f>
              <c:numCache>
                <c:formatCode>General</c:formatCode>
                <c:ptCount val="10"/>
                <c:pt idx="0">
                  <c:v>582977</c:v>
                </c:pt>
                <c:pt idx="1">
                  <c:v>2466989</c:v>
                </c:pt>
                <c:pt idx="2">
                  <c:v>1874943</c:v>
                </c:pt>
                <c:pt idx="3">
                  <c:v>1126912</c:v>
                </c:pt>
              </c:numCache>
            </c:numRef>
          </c:val>
          <c:smooth val="0"/>
          <c:extLst>
            <c:ext xmlns:c16="http://schemas.microsoft.com/office/drawing/2014/chart" uri="{C3380CC4-5D6E-409C-BE32-E72D297353CC}">
              <c16:uniqueId val="{00000051-6228-4CC2-8C08-F6AAD5CE271E}"/>
            </c:ext>
          </c:extLst>
        </c:ser>
        <c:ser>
          <c:idx val="25"/>
          <c:order val="25"/>
          <c:tx>
            <c:strRef>
              <c:f>lifecycle!$AA$3:$AA$4</c:f>
              <c:strCache>
                <c:ptCount val="1"/>
                <c:pt idx="0">
                  <c:v>NVIDIA H200</c:v>
                </c:pt>
              </c:strCache>
            </c:strRef>
          </c:tx>
          <c:spPr>
            <a:ln w="28575" cap="rnd">
              <a:solidFill>
                <a:schemeClr val="accent2">
                  <a:lumMod val="60%"/>
                  <a:lumOff val="40%"/>
                </a:schemeClr>
              </a:solidFill>
              <a:round/>
            </a:ln>
            <a:effectLst/>
          </c:spPr>
          <c:marker>
            <c:symbol val="circle"/>
            <c:size val="5"/>
            <c:spPr>
              <a:solidFill>
                <a:schemeClr val="accent2">
                  <a:lumMod val="60%"/>
                  <a:lumOff val="40%"/>
                </a:schemeClr>
              </a:solidFill>
              <a:ln w="9525">
                <a:solidFill>
                  <a:schemeClr val="accent2">
                    <a:lumMod val="60%"/>
                    <a:lumOff val="4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lifecycle!$AA$5:$AA$15</c:f>
              <c:numCache>
                <c:formatCode>General</c:formatCode>
                <c:ptCount val="10"/>
                <c:pt idx="0">
                  <c:v>115829</c:v>
                </c:pt>
                <c:pt idx="1">
                  <c:v>573022</c:v>
                </c:pt>
                <c:pt idx="2">
                  <c:v>487597</c:v>
                </c:pt>
              </c:numCache>
            </c:numRef>
          </c:val>
          <c:smooth val="0"/>
          <c:extLst>
            <c:ext xmlns:c16="http://schemas.microsoft.com/office/drawing/2014/chart" uri="{C3380CC4-5D6E-409C-BE32-E72D297353CC}">
              <c16:uniqueId val="{00000052-6228-4CC2-8C08-F6AAD5CE271E}"/>
            </c:ext>
          </c:extLst>
        </c:ser>
        <c:ser>
          <c:idx val="26"/>
          <c:order val="26"/>
          <c:tx>
            <c:strRef>
              <c:f>lifecycle!$AB$3:$AB$4</c:f>
              <c:strCache>
                <c:ptCount val="1"/>
                <c:pt idx="0">
                  <c:v>NVIDIA L40S</c:v>
                </c:pt>
              </c:strCache>
            </c:strRef>
          </c:tx>
          <c:spPr>
            <a:ln w="28575" cap="rnd">
              <a:solidFill>
                <a:schemeClr val="accent3">
                  <a:lumMod val="60%"/>
                  <a:lumOff val="40%"/>
                </a:schemeClr>
              </a:solidFill>
              <a:round/>
            </a:ln>
            <a:effectLst/>
          </c:spPr>
          <c:marker>
            <c:symbol val="circle"/>
            <c:size val="5"/>
            <c:spPr>
              <a:solidFill>
                <a:schemeClr val="accent3">
                  <a:lumMod val="60%"/>
                  <a:lumOff val="40%"/>
                </a:schemeClr>
              </a:solidFill>
              <a:ln w="9525">
                <a:solidFill>
                  <a:schemeClr val="accent3">
                    <a:lumMod val="60%"/>
                    <a:lumOff val="4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lifecycle!$AB$5:$AB$15</c:f>
              <c:numCache>
                <c:formatCode>General</c:formatCode>
                <c:ptCount val="10"/>
                <c:pt idx="0">
                  <c:v>51592</c:v>
                </c:pt>
                <c:pt idx="1">
                  <c:v>327147</c:v>
                </c:pt>
                <c:pt idx="2">
                  <c:v>359171</c:v>
                </c:pt>
                <c:pt idx="3">
                  <c:v>120445</c:v>
                </c:pt>
              </c:numCache>
            </c:numRef>
          </c:val>
          <c:smooth val="0"/>
          <c:extLst>
            <c:ext xmlns:c16="http://schemas.microsoft.com/office/drawing/2014/chart" uri="{C3380CC4-5D6E-409C-BE32-E72D297353CC}">
              <c16:uniqueId val="{00000053-6228-4CC2-8C08-F6AAD5CE271E}"/>
            </c:ext>
          </c:extLst>
        </c:ser>
        <c:ser>
          <c:idx val="27"/>
          <c:order val="27"/>
          <c:tx>
            <c:strRef>
              <c:f>lifecycle!$AC$3:$AC$4</c:f>
              <c:strCache>
                <c:ptCount val="1"/>
                <c:pt idx="0">
                  <c:v>NVIDIA V100</c:v>
                </c:pt>
              </c:strCache>
            </c:strRef>
          </c:tx>
          <c:spPr>
            <a:ln w="28575" cap="rnd">
              <a:solidFill>
                <a:schemeClr val="accent4">
                  <a:lumMod val="60%"/>
                  <a:lumOff val="40%"/>
                </a:schemeClr>
              </a:solidFill>
              <a:round/>
            </a:ln>
            <a:effectLst/>
          </c:spPr>
          <c:marker>
            <c:symbol val="circle"/>
            <c:size val="5"/>
            <c:spPr>
              <a:solidFill>
                <a:schemeClr val="accent4">
                  <a:lumMod val="60%"/>
                  <a:lumOff val="40%"/>
                </a:schemeClr>
              </a:solidFill>
              <a:ln w="9525">
                <a:solidFill>
                  <a:schemeClr val="accent4">
                    <a:lumMod val="60%"/>
                    <a:lumOff val="4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lifecycle!$AC$5:$AC$15</c:f>
              <c:numCache>
                <c:formatCode>General</c:formatCode>
                <c:ptCount val="10"/>
                <c:pt idx="3">
                  <c:v>6128</c:v>
                </c:pt>
                <c:pt idx="4">
                  <c:v>2719</c:v>
                </c:pt>
                <c:pt idx="5">
                  <c:v>3098</c:v>
                </c:pt>
                <c:pt idx="6">
                  <c:v>2572</c:v>
                </c:pt>
                <c:pt idx="7">
                  <c:v>3437</c:v>
                </c:pt>
                <c:pt idx="8">
                  <c:v>2504</c:v>
                </c:pt>
                <c:pt idx="9">
                  <c:v>2873</c:v>
                </c:pt>
              </c:numCache>
            </c:numRef>
          </c:val>
          <c:smooth val="0"/>
          <c:extLst>
            <c:ext xmlns:c16="http://schemas.microsoft.com/office/drawing/2014/chart" uri="{C3380CC4-5D6E-409C-BE32-E72D297353CC}">
              <c16:uniqueId val="{00000054-6228-4CC2-8C08-F6AAD5CE271E}"/>
            </c:ext>
          </c:extLst>
        </c:ser>
        <c:ser>
          <c:idx val="28"/>
          <c:order val="28"/>
          <c:tx>
            <c:strRef>
              <c:f>lifecycle!$AD$3:$AD$4</c:f>
              <c:strCache>
                <c:ptCount val="1"/>
                <c:pt idx="0">
                  <c:v>SambaNova SN40L</c:v>
                </c:pt>
              </c:strCache>
            </c:strRef>
          </c:tx>
          <c:spPr>
            <a:ln w="28575" cap="rnd">
              <a:solidFill>
                <a:schemeClr val="accent5">
                  <a:lumMod val="60%"/>
                  <a:lumOff val="40%"/>
                </a:schemeClr>
              </a:solidFill>
              <a:round/>
            </a:ln>
            <a:effectLst/>
          </c:spPr>
          <c:marker>
            <c:symbol val="circle"/>
            <c:size val="5"/>
            <c:spPr>
              <a:solidFill>
                <a:schemeClr val="accent5">
                  <a:lumMod val="60%"/>
                  <a:lumOff val="40%"/>
                </a:schemeClr>
              </a:solidFill>
              <a:ln w="9525">
                <a:solidFill>
                  <a:schemeClr val="accent5">
                    <a:lumMod val="60%"/>
                    <a:lumOff val="4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lifecycle!$AD$5:$AD$15</c:f>
              <c:numCache>
                <c:formatCode>General</c:formatCode>
                <c:ptCount val="10"/>
                <c:pt idx="0">
                  <c:v>258</c:v>
                </c:pt>
                <c:pt idx="1">
                  <c:v>3312</c:v>
                </c:pt>
                <c:pt idx="2">
                  <c:v>3199</c:v>
                </c:pt>
                <c:pt idx="3">
                  <c:v>1070</c:v>
                </c:pt>
              </c:numCache>
            </c:numRef>
          </c:val>
          <c:smooth val="0"/>
          <c:extLst>
            <c:ext xmlns:c16="http://schemas.microsoft.com/office/drawing/2014/chart" uri="{C3380CC4-5D6E-409C-BE32-E72D297353CC}">
              <c16:uniqueId val="{00000055-6228-4CC2-8C08-F6AAD5CE271E}"/>
            </c:ext>
          </c:extLst>
        </c:ser>
        <c:ser>
          <c:idx val="29"/>
          <c:order val="29"/>
          <c:tx>
            <c:strRef>
              <c:f>lifecycle!$AE$3:$AE$4</c:f>
              <c:strCache>
                <c:ptCount val="1"/>
                <c:pt idx="0">
                  <c:v>Tenstorrent Blackhole</c:v>
                </c:pt>
              </c:strCache>
            </c:strRef>
          </c:tx>
          <c:spPr>
            <a:ln w="28575" cap="rnd">
              <a:solidFill>
                <a:schemeClr val="accent6">
                  <a:lumMod val="60%"/>
                  <a:lumOff val="40%"/>
                </a:schemeClr>
              </a:solidFill>
              <a:round/>
            </a:ln>
            <a:effectLst/>
          </c:spPr>
          <c:marker>
            <c:symbol val="circle"/>
            <c:size val="5"/>
            <c:spPr>
              <a:solidFill>
                <a:schemeClr val="accent6">
                  <a:lumMod val="60%"/>
                  <a:lumOff val="40%"/>
                </a:schemeClr>
              </a:solidFill>
              <a:ln w="9525">
                <a:solidFill>
                  <a:schemeClr val="accent6">
                    <a:lumMod val="60%"/>
                    <a:lumOff val="40%"/>
                  </a:schemeClr>
                </a:solidFill>
              </a:ln>
              <a:effectLst/>
            </c:spPr>
          </c:marker>
          <c:cat>
            <c:strRef>
              <c:f>lifecycle!$A$5:$A$15</c:f>
              <c:strCache>
                <c:ptCount val="10"/>
                <c:pt idx="0">
                  <c:v>0</c:v>
                </c:pt>
                <c:pt idx="1">
                  <c:v>1</c:v>
                </c:pt>
                <c:pt idx="2">
                  <c:v>2</c:v>
                </c:pt>
                <c:pt idx="3">
                  <c:v>3</c:v>
                </c:pt>
                <c:pt idx="4">
                  <c:v>4</c:v>
                </c:pt>
                <c:pt idx="5">
                  <c:v>5</c:v>
                </c:pt>
                <c:pt idx="6">
                  <c:v>6</c:v>
                </c:pt>
                <c:pt idx="7">
                  <c:v>7</c:v>
                </c:pt>
                <c:pt idx="8">
                  <c:v>8</c:v>
                </c:pt>
                <c:pt idx="9">
                  <c:v>9</c:v>
                </c:pt>
              </c:strCache>
            </c:strRef>
          </c:cat>
          <c:val>
            <c:numRef>
              <c:f>lifecycle!$AE$5:$AE$15</c:f>
              <c:numCache>
                <c:formatCode>General</c:formatCode>
                <c:ptCount val="10"/>
                <c:pt idx="0">
                  <c:v>81</c:v>
                </c:pt>
                <c:pt idx="1">
                  <c:v>861</c:v>
                </c:pt>
                <c:pt idx="2">
                  <c:v>883</c:v>
                </c:pt>
              </c:numCache>
            </c:numRef>
          </c:val>
          <c:smooth val="0"/>
          <c:extLst>
            <c:ext xmlns:c16="http://schemas.microsoft.com/office/drawing/2014/chart" uri="{C3380CC4-5D6E-409C-BE32-E72D297353CC}">
              <c16:uniqueId val="{00000056-6228-4CC2-8C08-F6AAD5CE271E}"/>
            </c:ext>
          </c:extLst>
        </c:ser>
        <c:dLbls>
          <c:showLegendKey val="0"/>
          <c:showVal val="0"/>
          <c:showCatName val="0"/>
          <c:showSerName val="0"/>
          <c:showPercent val="0"/>
          <c:showBubbleSize val="0"/>
        </c:dLbls>
        <c:marker val="1"/>
        <c:smooth val="0"/>
        <c:axId val="359481759"/>
        <c:axId val="457923791"/>
      </c:lineChart>
      <c:catAx>
        <c:axId val="359481759"/>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457923791"/>
        <c:crosses val="autoZero"/>
        <c:auto val="1"/>
        <c:lblAlgn val="ctr"/>
        <c:lblOffset val="100"/>
        <c:noMultiLvlLbl val="0"/>
      </c:catAx>
      <c:valAx>
        <c:axId val="457923791"/>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5948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purl.oclc.org/ooxml/drawingml/main" xmlns:r="http://purl.oclc.org/ooxml/officeDocument/relationships" xmlns:cx="http://schemas.microsoft.com/office/drawing/2014/chartex">
  <cx:chartData>
    <cx:data id="0">
      <cx:numDim type="val">
        <cx:f>_xlchart.v1.3</cx:f>
      </cx:numDim>
    </cx:data>
  </cx:chartData>
  <cx:chart>
    <cx:title pos="t" align="ctr" overlay="0">
      <cx:tx>
        <cx:rich>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GB"/>
              <a:t>estimated_shipments_units</a:t>
            </a:r>
            <a:endParaRPr lang="en-US" sz="1400" b="0" i="0" u="none" strike="noStrike" baseline="0%">
              <a:solidFill>
                <a:sysClr val="windowText" lastClr="000000">
                  <a:lumMod val="65%"/>
                  <a:lumOff val="35%"/>
                </a:sysClr>
              </a:solidFill>
              <a:latin typeface="Aptos Narrow" panose="02110004020202020204"/>
            </a:endParaRPr>
          </a:p>
        </cx:rich>
      </cx:tx>
    </cx:title>
    <cx:plotArea>
      <cx:plotAreaRegion>
        <cx:series layoutId="clusteredColumn" uniqueId="{00000000-1A1F-49AA-AEC0-9F938E4F1DAC}">
          <cx:tx>
            <cx:txData>
              <cx:f>_xlchart.v1.2</cx:f>
              <cx:v>estimated_shipments_units</cx:v>
            </cx:txData>
          </cx:tx>
          <cx:dataId val="0"/>
          <cx:layoutPr>
            <cx:binning intervalClosed="r">
              <cx:binSize val="230000"/>
            </cx:binning>
          </cx:layoutPr>
        </cx:series>
      </cx:plotAreaRegion>
      <cx:axis id="0">
        <cx:catScaling gapWidth="0"/>
        <cx:tickLabels/>
      </cx:axis>
      <cx:axis id="1">
        <cx:valScaling/>
        <cx:majorGridlines/>
        <cx:tickLabels/>
      </cx:axis>
    </cx:plotArea>
  </cx:chart>
</cx:chartSpace>
</file>

<file path=xl/charts/chartEx2.xml><?xml version="1.0" encoding="utf-8"?>
<cx:chartSpace xmlns:a="http://purl.oclc.org/ooxml/drawingml/main" xmlns:r="http://purl.oclc.org/ooxml/officeDocument/relationships" xmlns:cx="http://schemas.microsoft.com/office/drawing/2014/chartex">
  <cx:chartData>
    <cx:data id="0">
      <cx:numDim type="val">
        <cx:f>_xlchart.v1.1</cx:f>
      </cx:numDim>
    </cx:data>
  </cx:chartData>
  <cx:chart>
    <cx:title pos="t" align="ctr" overlay="0">
      <cx:tx>
        <cx:txData>
          <cx:v> estimated_asp_usd</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400" b="0" i="0" u="none" strike="noStrike" baseline="0%">
              <a:solidFill>
                <a:sysClr val="windowText" lastClr="000000">
                  <a:lumMod val="65%"/>
                  <a:lumOff val="35%"/>
                </a:sysClr>
              </a:solidFill>
              <a:latin typeface="Aptos Narrow" panose="02110004020202020204"/>
            </a:rPr>
            <a:t> estimated_asp_usd</a:t>
          </a:r>
        </a:p>
      </cx:txPr>
    </cx:title>
    <cx:plotArea>
      <cx:plotAreaRegion>
        <cx:series layoutId="clusteredColumn" uniqueId="{00000000-0D50-448F-AD07-03179EB5EAAB}">
          <cx:tx>
            <cx:txData>
              <cx:f>_xlchart.v1.0</cx:f>
              <cx:v>estimated_asp_usd</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purl.oclc.org/ooxml/drawingml/main" xmlns:r="http://purl.oclc.org/ooxml/officeDocument/relationships" xmlns:cx="http://schemas.microsoft.com/office/drawing/2014/chartex">
  <cx:chartData>
    <cx:data id="0">
      <cx:numDim type="val">
        <cx:f>_xlchart.v1.5</cx:f>
      </cx:numDim>
    </cx:data>
  </cx:chartData>
  <cx:chart>
    <cx:title pos="t" align="ctr" overlay="0">
      <cx:tx>
        <cx:txData>
          <cx:v>estimated_revenue_usd_m</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400" b="0" i="0" u="none" strike="noStrike" baseline="0%">
              <a:solidFill>
                <a:sysClr val="windowText" lastClr="000000">
                  <a:lumMod val="65%"/>
                  <a:lumOff val="35%"/>
                </a:sysClr>
              </a:solidFill>
              <a:latin typeface="Aptos Narrow" panose="02110004020202020204"/>
            </a:rPr>
            <a:t>estimated_revenue_usd_m</a:t>
          </a:r>
        </a:p>
      </cx:txPr>
    </cx:title>
    <cx:plotArea>
      <cx:plotAreaRegion>
        <cx:series layoutId="clusteredColumn" uniqueId="{00000000-A029-4AFF-924A-A4DFD0CF6340}">
          <cx:tx>
            <cx:txData>
              <cx:f>_xlchart.v1.4</cx:f>
              <cx:v>estimated_revenue_usd_m</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purl.oclc.org/ooxml/drawingml/main" xmlns:r="http://purl.oclc.org/ooxml/officeDocument/relationships" xmlns:cx="http://schemas.microsoft.com/office/drawing/2014/chartex">
  <cx:chartData>
    <cx:data id="0">
      <cx:numDim type="val">
        <cx:f>_xlchart.v1.7</cx:f>
      </cx:numDim>
    </cx:data>
  </cx:chartData>
  <cx:chart>
    <cx:title pos="t" align="ctr" overlay="0">
      <cx:tx>
        <cx:txData>
          <cx:v>shipments_units - log (skew=-0.34)</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400" b="0" i="0" u="none" strike="noStrike" baseline="0%">
              <a:solidFill>
                <a:sysClr val="windowText" lastClr="000000">
                  <a:lumMod val="65%"/>
                  <a:lumOff val="35%"/>
                </a:sysClr>
              </a:solidFill>
              <a:latin typeface="Aptos Narrow" panose="02110004020202020204"/>
            </a:rPr>
            <a:t>shipments_units - log (skew=-0.34)</a:t>
          </a:r>
        </a:p>
      </cx:txPr>
      <cx:extLst>
        <cx:ext uri="ext:featex">
          <cx:featureExtension feature="mp" drop="onModelChange">
            <cx:offset top="0.02083333395421505" left="-0.013888888992369175"/>
          </cx:featureExtension>
        </cx:ext>
      </cx:extLst>
    </cx:title>
    <cx:plotArea>
      <cx:plotAreaRegion>
        <cx:series layoutId="clusteredColumn" uniqueId="{00000000-44E9-41E7-A154-5ECA2491FD5E}" formatIdx="0">
          <cx:tx>
            <cx:txData>
              <cx:f>_xlchart.v1.6</cx:f>
              <cx:v>log(estimated_shipment-units)</cx:v>
            </cx:txData>
          </cx:tx>
          <cx:spPr>
            <a:solidFill xmlns:a="http://schemas.openxmlformats.org/drawingml/2006/main">
              <a:schemeClr val="accent2">
                <a:lumMod val="75%"/>
              </a:schemeClr>
            </a:solidFill>
          </cx:spPr>
          <cx:dataId val="0"/>
          <cx:layoutPr>
            <cx:binning intervalClosed="r"/>
          </cx:layoutPr>
        </cx:series>
      </cx:plotAreaRegion>
      <cx:axis id="0">
        <cx:catScaling/>
        <cx:tickLabels/>
      </cx:axis>
      <cx:axis id="1">
        <cx:valScaling/>
        <cx:tickLabels/>
      </cx:axis>
    </cx:plotArea>
  </cx:chart>
</cx:chartSpace>
</file>

<file path=xl/charts/chartEx5.xml><?xml version="1.0" encoding="utf-8"?>
<cx:chartSpace xmlns:a="http://purl.oclc.org/ooxml/drawingml/main" xmlns:r="http://purl.oclc.org/ooxml/officeDocument/relationships" xmlns:cx="http://schemas.microsoft.com/office/drawing/2014/chartex">
  <cx:chartData>
    <cx:data id="0">
      <cx:numDim type="val">
        <cx:f>_xlchart.v1.9</cx:f>
      </cx:numDim>
    </cx:data>
  </cx:chartData>
  <cx:chart>
    <cx:title pos="t" align="ctr" overlay="0">
      <cx:tx>
        <cx:txData>
          <cx:v>estimated_asp -log (skew=-2.8)</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400" b="0" i="0" u="none" strike="noStrike" baseline="0%">
              <a:solidFill>
                <a:sysClr val="windowText" lastClr="000000">
                  <a:lumMod val="65%"/>
                  <a:lumOff val="35%"/>
                </a:sysClr>
              </a:solidFill>
              <a:latin typeface="Aptos Narrow" panose="02110004020202020204"/>
            </a:rPr>
            <a:t>estimated_asp -log (skew=-2.8)</a:t>
          </a:r>
        </a:p>
      </cx:txPr>
    </cx:title>
    <cx:plotArea>
      <cx:plotAreaRegion>
        <cx:series layoutId="clusteredColumn" uniqueId="{00000000-AD2C-40DB-A7A2-1797509F175F}" formatIdx="0">
          <cx:tx>
            <cx:txData>
              <cx:f>_xlchart.v1.8</cx:f>
              <cx:v>log(estimated_asp_usd)</cx:v>
            </cx:txData>
          </cx:tx>
          <cx:spPr>
            <a:solidFill xmlns:a="http://schemas.openxmlformats.org/drawingml/2006/main">
              <a:schemeClr val="accent2">
                <a:lumMod val="75%"/>
              </a:schemeClr>
            </a:solidFill>
          </cx:spPr>
          <cx:dataId val="0"/>
          <cx:layoutPr>
            <cx:binning intervalClosed="r"/>
          </cx:layoutPr>
        </cx:series>
      </cx:plotAreaRegion>
      <cx:axis id="0">
        <cx:catScaling/>
        <cx:tickLabels/>
      </cx:axis>
      <cx:axis id="1">
        <cx:valScaling/>
        <cx:tickLabels/>
      </cx:axis>
    </cx:plotArea>
  </cx:chart>
</cx:chartSpace>
</file>

<file path=xl/charts/chartEx6.xml><?xml version="1.0" encoding="utf-8"?>
<cx:chartSpace xmlns:a="http://purl.oclc.org/ooxml/drawingml/main" xmlns:r="http://purl.oclc.org/ooxml/officeDocument/relationships" xmlns:cx="http://schemas.microsoft.com/office/drawing/2014/chartex">
  <cx:chartData>
    <cx:data id="0">
      <cx:numDim type="val">
        <cx:f>_xlchart.v1.11</cx:f>
      </cx:numDim>
    </cx:data>
  </cx:chartData>
  <cx:chart>
    <cx:title pos="t" align="ctr" overlay="0">
      <cx:tx>
        <cx:txData>
          <cx:v>estimated_revenue - log(skew=0.29)</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400" b="0" i="0" u="none" strike="noStrike" baseline="0%">
              <a:solidFill>
                <a:sysClr val="windowText" lastClr="000000">
                  <a:lumMod val="65%"/>
                  <a:lumOff val="35%"/>
                </a:sysClr>
              </a:solidFill>
              <a:latin typeface="Aptos Narrow" panose="02110004020202020204"/>
            </a:rPr>
            <a:t>estimated_revenue - log(skew=0.29)</a:t>
          </a:r>
        </a:p>
      </cx:txPr>
    </cx:title>
    <cx:plotArea>
      <cx:plotAreaRegion>
        <cx:series layoutId="clusteredColumn" uniqueId="{00000000-F7D6-4988-B64F-DA91F45CD5F0}" formatIdx="0">
          <cx:tx>
            <cx:txData>
              <cx:f>_xlchart.v1.10</cx:f>
              <cx:v>log(estimated_revenue_usd)</cx:v>
            </cx:txData>
          </cx:tx>
          <cx:spPr>
            <a:solidFill xmlns:a="http://schemas.openxmlformats.org/drawingml/2006/main">
              <a:schemeClr val="accent2">
                <a:lumMod val="75%"/>
              </a:schemeClr>
            </a:solidFill>
          </cx:spPr>
          <cx:dataId val="0"/>
          <cx:layoutPr>
            <cx:binning intervalClosed="r"/>
          </cx:layoutPr>
        </cx:series>
      </cx:plotAreaRegion>
      <cx:axis id="0">
        <cx:catScaling/>
        <cx:tickLabels/>
      </cx:axis>
      <cx:axis id="1">
        <cx:valScaling/>
        <cx:tickLabels/>
      </cx:axis>
    </cx:plotArea>
  </cx:chart>
</cx:chartSpace>
</file>

<file path=xl/charts/chartEx7.xml><?xml version="1.0" encoding="utf-8"?>
<cx:chartSpace xmlns:a="http://purl.oclc.org/ooxml/drawingml/main" xmlns:r="http://purl.oclc.org/ooxml/officeDocument/relationships" xmlns:cx="http://schemas.microsoft.com/office/drawing/2014/chartex">
  <cx:chartData>
    <cx:data id="0">
      <cx:strDim type="cat">
        <cx:f>_xlchart.v1.12</cx:f>
      </cx:strDim>
      <cx:numDim type="val">
        <cx:f>_xlchart.v1.14</cx:f>
      </cx:numDim>
    </cx:data>
  </cx:chartData>
  <cx:chart>
    <cx:title pos="t" align="ctr" overlay="0">
      <cx:tx>
        <cx:txData>
          <cx:v>Chip Efficiency</cx:v>
        </cx:txData>
      </cx:tx>
      <cx:txPr>
        <a:bodyPr xmlns:a="http://schemas.openxmlformats.org/drawingml/2006/main" rot="0" spcFirstLastPara="1" vertOverflow="ellipsis" vert="horz" wrap="square" lIns="38100" tIns="19050" rIns="38100" bIns="19050" anchor="ctr" anchorCtr="1" compatLnSpc="0"/>
        <a:lstStyle xmlns:a="http://schemas.openxmlformats.org/drawingml/2006/main"/>
        <a:p xmlns:a="http://schemas.openxmlformats.org/drawingml/2006/main">
          <a:pPr algn="ctr" rtl="0">
            <a:defRPr sz="1400" b="0" i="0" u="none" strike="noStrike" kern="1200" spc="0" baseline="0%">
              <a:solidFill>
                <a:sysClr val="windowText" lastClr="000000">
                  <a:lumMod val="65%"/>
                  <a:lumOff val="35%"/>
                </a:sysClr>
              </a:solidFill>
              <a:latin typeface="+mn-lt"/>
              <a:ea typeface="+mn-ea"/>
              <a:cs typeface="+mn-cs"/>
            </a:defRPr>
          </a:pPr>
          <a:r>
            <a:rPr kumimoji="0" lang="en-US" sz="1400" b="0" i="0" u="none" strike="noStrike" kern="1200" cap="none" spc="0" normalizeH="0" baseline="0%" noProof="0">
              <a:ln>
                <a:noFill/>
              </a:ln>
              <a:solidFill>
                <a:sysClr val="windowText" lastClr="000000">
                  <a:lumMod val="65%"/>
                  <a:lumOff val="35%"/>
                </a:sysClr>
              </a:solidFill>
              <a:effectLst/>
              <a:uLnTx/>
              <a:uFillTx/>
              <a:latin typeface="Aptos Narrow" panose="02110004020202020204"/>
            </a:rPr>
            <a:t>Chip Efficiency</a:t>
          </a:r>
        </a:p>
      </cx:txPr>
    </cx:title>
    <cx:plotArea>
      <cx:plotAreaRegion>
        <cx:series layoutId="clusteredColumn" uniqueId="{EBEDD088-B39F-47FA-A579-5156F8D04C5E}" formatIdx="0">
          <cx:tx>
            <cx:txData>
              <cx:f>_xlchart.v1.13</cx:f>
              <cx:v>Efficiency</cx:v>
            </cx:txData>
          </cx:tx>
          <cx:dataId val="0"/>
          <cx:layoutPr>
            <cx:aggregation/>
          </cx:layoutPr>
        </cx:series>
      </cx:plotAreaRegion>
      <cx:axis id="0">
        <cx:valScaling/>
        <cx:tickLabels/>
      </cx:axis>
      <cx:axis id="1">
        <cx:catScaling/>
        <cx:tickLabels/>
      </cx:axis>
    </cx:plotArea>
  </cx:chart>
</cx: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0.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366">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purl.oclc.org/ooxml/drawingml/main" id="366">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purl.oclc.org/ooxml/drawingml/main" id="366">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purl.oclc.org/ooxml/drawingml/main" id="366">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purl.oclc.org/ooxml/drawingml/main" id="366">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purl.oclc.org/ooxml/drawingml/main" id="366">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purl.oclc.org/ooxml/drawingml/main" id="332">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1" Type="http://purl.oclc.org/ooxml/officeDocument/relationships/chart" Target="../charts/chart1.xml"/></Relationships>
</file>

<file path=xl/drawings/_rels/drawing3.xml.rels><?xml version="1.0" encoding="UTF-8" standalone="yes"?>
<Relationships xmlns="http://schemas.openxmlformats.org/package/2006/relationships"><Relationship Id="rId2" Type="http://purl.oclc.org/ooxml/officeDocument/relationships/image" Target="../media/image2.png"/><Relationship Id="rId1" Type="http://purl.oclc.org/ooxml/officeDocument/relationships/image" Target="../media/image1.png"/></Relationships>
</file>

<file path=xl/drawings/_rels/drawing4.xml.rels><?xml version="1.0" encoding="UTF-8" standalone="yes"?>
<Relationships xmlns="http://schemas.openxmlformats.org/package/2006/relationships"><Relationship Id="rId1" Type="http://purl.oclc.org/ooxml/officeDocument/relationships/chart" Target="../charts/chart2.xml"/></Relationships>
</file>

<file path=xl/drawings/_rels/drawing5.xml.rels><?xml version="1.0" encoding="UTF-8" standalone="yes"?>
<Relationships xmlns="http://schemas.openxmlformats.org/package/2006/relationships"><Relationship Id="rId1" Type="http://purl.oclc.org/ooxml/officeDocument/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7.xml"/></Relationships>
</file>

<file path=xl/drawings/_rels/drawing7.xml.rels><?xml version="1.0" encoding="UTF-8" standalone="yes"?>
<Relationships xmlns="http://schemas.openxmlformats.org/package/2006/relationships"><Relationship Id="rId1"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1</xdr:col>
      <xdr:colOff>0</xdr:colOff>
      <xdr:row>3</xdr:row>
      <xdr:rowOff>0</xdr:rowOff>
    </xdr:from>
    <xdr:to>
      <xdr:col>8</xdr:col>
      <xdr:colOff>296333</xdr:colOff>
      <xdr:row>17</xdr:row>
      <xdr:rowOff>180975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03B4131-C994-4891-BA05-3B1A26D28DDC}"/>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1"/>
            </a:graphicData>
          </a:graphic>
        </xdr:graphicFrame>
      </mc:Choice>
      <mc:Fallback>
        <xdr:sp macro="" textlink="">
          <xdr:nvSpPr>
            <xdr:cNvPr id="0" name=""/>
            <xdr:cNvSpPr>
              <a:spLocks noTextEdit="1"/>
            </xdr:cNvSpPr>
          </xdr:nvSpPr>
          <xdr:spPr>
            <a:xfrm>
              <a:off x="609600" y="552450"/>
              <a:ext cx="4563533" cy="27590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22</xdr:row>
      <xdr:rowOff>50800</xdr:rowOff>
    </xdr:from>
    <xdr:to>
      <xdr:col>8</xdr:col>
      <xdr:colOff>296333</xdr:colOff>
      <xdr:row>37</xdr:row>
      <xdr:rowOff>47625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AE4F19D-BF60-4C58-82BB-D129920559A3}"/>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2"/>
            </a:graphicData>
          </a:graphic>
        </xdr:graphicFrame>
      </mc:Choice>
      <mc:Fallback>
        <xdr:sp macro="" textlink="">
          <xdr:nvSpPr>
            <xdr:cNvPr id="0" name=""/>
            <xdr:cNvSpPr>
              <a:spLocks noTextEdit="1"/>
            </xdr:cNvSpPr>
          </xdr:nvSpPr>
          <xdr:spPr>
            <a:xfrm>
              <a:off x="609600" y="4102100"/>
              <a:ext cx="4563533" cy="27590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6350</xdr:colOff>
      <xdr:row>42</xdr:row>
      <xdr:rowOff>6350</xdr:rowOff>
    </xdr:from>
    <xdr:to>
      <xdr:col>8</xdr:col>
      <xdr:colOff>302683</xdr:colOff>
      <xdr:row>57</xdr:row>
      <xdr:rowOff>3175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AD4F2FC-C369-47CA-AFF7-03B424817AF8}"/>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3"/>
            </a:graphicData>
          </a:graphic>
        </xdr:graphicFrame>
      </mc:Choice>
      <mc:Fallback>
        <xdr:sp macro="" textlink="">
          <xdr:nvSpPr>
            <xdr:cNvPr id="0" name=""/>
            <xdr:cNvSpPr>
              <a:spLocks noTextEdit="1"/>
            </xdr:cNvSpPr>
          </xdr:nvSpPr>
          <xdr:spPr>
            <a:xfrm>
              <a:off x="615950" y="7740650"/>
              <a:ext cx="4563533" cy="27590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50800</xdr:colOff>
      <xdr:row>2</xdr:row>
      <xdr:rowOff>171450</xdr:rowOff>
    </xdr:from>
    <xdr:to>
      <xdr:col>17</xdr:col>
      <xdr:colOff>461433</xdr:colOff>
      <xdr:row>18</xdr:row>
      <xdr:rowOff>3175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E498D427-106E-40A1-BFE1-7F23BB12F802}"/>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4"/>
            </a:graphicData>
          </a:graphic>
        </xdr:graphicFrame>
      </mc:Choice>
      <mc:Fallback>
        <xdr:sp macro="" textlink="">
          <xdr:nvSpPr>
            <xdr:cNvPr id="0" name=""/>
            <xdr:cNvSpPr>
              <a:spLocks noTextEdit="1"/>
            </xdr:cNvSpPr>
          </xdr:nvSpPr>
          <xdr:spPr>
            <a:xfrm>
              <a:off x="6146800" y="539750"/>
              <a:ext cx="4677833" cy="27781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19050</xdr:colOff>
      <xdr:row>22</xdr:row>
      <xdr:rowOff>31750</xdr:rowOff>
    </xdr:from>
    <xdr:to>
      <xdr:col>17</xdr:col>
      <xdr:colOff>316442</xdr:colOff>
      <xdr:row>37</xdr:row>
      <xdr:rowOff>27517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2317EC81-3F0F-405A-B36D-D129F3A57F0F}"/>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5"/>
            </a:graphicData>
          </a:graphic>
        </xdr:graphicFrame>
      </mc:Choice>
      <mc:Fallback>
        <xdr:sp macro="" textlink="">
          <xdr:nvSpPr>
            <xdr:cNvPr id="0" name=""/>
            <xdr:cNvSpPr>
              <a:spLocks noTextEdit="1"/>
            </xdr:cNvSpPr>
          </xdr:nvSpPr>
          <xdr:spPr>
            <a:xfrm>
              <a:off x="6115050" y="4083050"/>
              <a:ext cx="4564592" cy="275801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25400</xdr:colOff>
      <xdr:row>42</xdr:row>
      <xdr:rowOff>6350</xdr:rowOff>
    </xdr:from>
    <xdr:to>
      <xdr:col>17</xdr:col>
      <xdr:colOff>322792</xdr:colOff>
      <xdr:row>57</xdr:row>
      <xdr:rowOff>2117</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DFEC78EB-B1D5-4CCF-95BD-A327429FEF85}"/>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6"/>
            </a:graphicData>
          </a:graphic>
        </xdr:graphicFrame>
      </mc:Choice>
      <mc:Fallback>
        <xdr:sp macro="" textlink="">
          <xdr:nvSpPr>
            <xdr:cNvPr id="0" name=""/>
            <xdr:cNvSpPr>
              <a:spLocks noTextEdit="1"/>
            </xdr:cNvSpPr>
          </xdr:nvSpPr>
          <xdr:spPr>
            <a:xfrm>
              <a:off x="6121400" y="7740650"/>
              <a:ext cx="4564592" cy="275801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purl.oclc.org/ooxml/drawingml/spreadsheetDrawing" xmlns:a="http://purl.oclc.org/ooxml/drawingml/main">
  <xdr:twoCellAnchor>
    <xdr:from>
      <xdr:col>0</xdr:col>
      <xdr:colOff>1730375</xdr:colOff>
      <xdr:row>18</xdr:row>
      <xdr:rowOff>85725</xdr:rowOff>
    </xdr:from>
    <xdr:to>
      <xdr:col>7</xdr:col>
      <xdr:colOff>542925</xdr:colOff>
      <xdr:row>33</xdr:row>
      <xdr:rowOff>66675</xdr:rowOff>
    </xdr:to>
    <xdr:graphicFrame macro="">
      <xdr:nvGraphicFramePr>
        <xdr:cNvPr id="3" name="Chart 2">
          <a:extLst>
            <a:ext uri="{FF2B5EF4-FFF2-40B4-BE49-F238E27FC236}">
              <a16:creationId xmlns:a16="http://schemas.microsoft.com/office/drawing/2014/main" id="{7C52FFDA-0074-5BF0-9FAD-CDE7A7BC623F}"/>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3.xml><?xml version="1.0" encoding="utf-8"?>
<xdr:wsDr xmlns:xdr="http://purl.oclc.org/ooxml/drawingml/spreadsheetDrawing" xmlns:a="http://purl.oclc.org/ooxml/drawingml/main">
  <xdr:twoCellAnchor editAs="oneCell">
    <xdr:from>
      <xdr:col>0</xdr:col>
      <xdr:colOff>277812</xdr:colOff>
      <xdr:row>1</xdr:row>
      <xdr:rowOff>19843</xdr:rowOff>
    </xdr:from>
    <xdr:to>
      <xdr:col>13</xdr:col>
      <xdr:colOff>178690</xdr:colOff>
      <xdr:row>24</xdr:row>
      <xdr:rowOff>39688</xdr:rowOff>
    </xdr:to>
    <xdr:pic>
      <xdr:nvPicPr>
        <xdr:cNvPr id="7" name="Picture 6">
          <a:extLst>
            <a:ext uri="{FF2B5EF4-FFF2-40B4-BE49-F238E27FC236}">
              <a16:creationId xmlns:a16="http://schemas.microsoft.com/office/drawing/2014/main" id="{5A8EB81F-E7A7-1802-E765-77709243078D}"/>
            </a:ext>
          </a:extLst>
        </xdr:cNvPr>
        <xdr:cNvPicPr>
          <a:picLocks noChangeAspect="1" noChangeArrowheads="1"/>
        </xdr:cNvPicPr>
      </xdr:nvPicPr>
      <xdr:blipFill>
        <a:blip xmlns:r="http://purl.oclc.org/ooxml/officeDocument/relationships" r:embed="rId1">
          <a:extLst>
            <a:ext uri="{28A0092B-C50C-407E-A947-70E740481C1C}">
              <a14:useLocalDpi xmlns:a14="http://schemas.microsoft.com/office/drawing/2010/main" val="0"/>
            </a:ext>
          </a:extLst>
        </a:blip>
        <a:srcRect/>
        <a:stretch>
          <a:fillRect/>
        </a:stretch>
      </xdr:blipFill>
      <xdr:spPr bwMode="auto">
        <a:xfrm>
          <a:off x="277812" y="208359"/>
          <a:ext cx="7768925" cy="4355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178593</xdr:colOff>
      <xdr:row>0</xdr:row>
      <xdr:rowOff>109141</xdr:rowOff>
    </xdr:from>
    <xdr:to>
      <xdr:col>27</xdr:col>
      <xdr:colOff>125093</xdr:colOff>
      <xdr:row>24</xdr:row>
      <xdr:rowOff>0</xdr:rowOff>
    </xdr:to>
    <xdr:pic>
      <xdr:nvPicPr>
        <xdr:cNvPr id="8" name="Picture 7">
          <a:extLst>
            <a:ext uri="{FF2B5EF4-FFF2-40B4-BE49-F238E27FC236}">
              <a16:creationId xmlns:a16="http://schemas.microsoft.com/office/drawing/2014/main" id="{CED763AA-68CF-8616-10BC-70E08F88B7FA}"/>
            </a:ext>
          </a:extLst>
        </xdr:cNvPr>
        <xdr:cNvPicPr>
          <a:picLocks noChangeAspect="1" noChangeArrowheads="1"/>
        </xdr:cNvPicPr>
      </xdr:nvPicPr>
      <xdr:blipFill>
        <a:blip xmlns:r="http://purl.oclc.org/ooxml/officeDocument/relationships" r:embed="rId2">
          <a:extLst>
            <a:ext uri="{28A0092B-C50C-407E-A947-70E740481C1C}">
              <a14:useLocalDpi xmlns:a14="http://schemas.microsoft.com/office/drawing/2010/main" val="0"/>
            </a:ext>
          </a:extLst>
        </a:blip>
        <a:srcRect/>
        <a:stretch>
          <a:fillRect/>
        </a:stretch>
      </xdr:blipFill>
      <xdr:spPr bwMode="auto">
        <a:xfrm>
          <a:off x="9257109" y="109141"/>
          <a:ext cx="7209312" cy="4415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purl.oclc.org/ooxml/drawingml/spreadsheetDrawing" xmlns:a="http://purl.oclc.org/ooxml/drawingml/main">
  <xdr:twoCellAnchor>
    <xdr:from>
      <xdr:col>0</xdr:col>
      <xdr:colOff>0</xdr:colOff>
      <xdr:row>11</xdr:row>
      <xdr:rowOff>171451</xdr:rowOff>
    </xdr:from>
    <xdr:to>
      <xdr:col>6</xdr:col>
      <xdr:colOff>203200</xdr:colOff>
      <xdr:row>30</xdr:row>
      <xdr:rowOff>165101</xdr:rowOff>
    </xdr:to>
    <xdr:graphicFrame macro="">
      <xdr:nvGraphicFramePr>
        <xdr:cNvPr id="2" name="Chart 1">
          <a:extLst>
            <a:ext uri="{FF2B5EF4-FFF2-40B4-BE49-F238E27FC236}">
              <a16:creationId xmlns:a16="http://schemas.microsoft.com/office/drawing/2014/main" id="{525A55D0-BAAA-6BC8-A143-2CF4C523B677}"/>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5.xml><?xml version="1.0" encoding="utf-8"?>
<xdr:wsDr xmlns:xdr="http://purl.oclc.org/ooxml/drawingml/spreadsheetDrawing" xmlns:a="http://purl.oclc.org/ooxml/drawingml/main">
  <xdr:twoCellAnchor>
    <xdr:from>
      <xdr:col>2</xdr:col>
      <xdr:colOff>444500</xdr:colOff>
      <xdr:row>5</xdr:row>
      <xdr:rowOff>57150</xdr:rowOff>
    </xdr:from>
    <xdr:to>
      <xdr:col>10</xdr:col>
      <xdr:colOff>374650</xdr:colOff>
      <xdr:row>22</xdr:row>
      <xdr:rowOff>92075</xdr:rowOff>
    </xdr:to>
    <xdr:graphicFrame macro="">
      <xdr:nvGraphicFramePr>
        <xdr:cNvPr id="3" name="Chart 2">
          <a:extLst>
            <a:ext uri="{FF2B5EF4-FFF2-40B4-BE49-F238E27FC236}">
              <a16:creationId xmlns:a16="http://schemas.microsoft.com/office/drawing/2014/main" id="{1BF10960-6302-C4F2-939A-4B2EA960CF04}"/>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6.xml><?xml version="1.0" encoding="utf-8"?>
<xdr:wsDr xmlns:xdr="http://purl.oclc.org/ooxml/drawingml/spreadsheetDrawing" xmlns:a="http://purl.oclc.org/ooxml/drawingml/main">
  <xdr:twoCellAnchor>
    <xdr:from>
      <xdr:col>1</xdr:col>
      <xdr:colOff>495300</xdr:colOff>
      <xdr:row>1</xdr:row>
      <xdr:rowOff>107950</xdr:rowOff>
    </xdr:from>
    <xdr:to>
      <xdr:col>10</xdr:col>
      <xdr:colOff>242460</xdr:colOff>
      <xdr:row>19</xdr:row>
      <xdr:rowOff>46974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1C58300-CD01-457F-A6E5-D8494ED8D898}"/>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1"/>
            </a:graphicData>
          </a:graphic>
        </xdr:graphicFrame>
      </mc:Choice>
      <mc:Fallback>
        <xdr:sp macro="" textlink="">
          <xdr:nvSpPr>
            <xdr:cNvPr id="0" name=""/>
            <xdr:cNvSpPr>
              <a:spLocks noTextEdit="1"/>
            </xdr:cNvSpPr>
          </xdr:nvSpPr>
          <xdr:spPr>
            <a:xfrm>
              <a:off x="1104900" y="292100"/>
              <a:ext cx="5233560" cy="325372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purl.oclc.org/ooxml/drawingml/spreadsheetDrawing" xmlns:a="http://purl.oclc.org/ooxml/drawingml/main">
  <xdr:twoCellAnchor>
    <xdr:from>
      <xdr:col>0</xdr:col>
      <xdr:colOff>482600</xdr:colOff>
      <xdr:row>15</xdr:row>
      <xdr:rowOff>168274</xdr:rowOff>
    </xdr:from>
    <xdr:to>
      <xdr:col>7</xdr:col>
      <xdr:colOff>336550</xdr:colOff>
      <xdr:row>33</xdr:row>
      <xdr:rowOff>120649</xdr:rowOff>
    </xdr:to>
    <xdr:graphicFrame macro="">
      <xdr:nvGraphicFramePr>
        <xdr:cNvPr id="2" name="Chart 1">
          <a:extLst>
            <a:ext uri="{FF2B5EF4-FFF2-40B4-BE49-F238E27FC236}">
              <a16:creationId xmlns:a16="http://schemas.microsoft.com/office/drawing/2014/main" id="{F2AA2B0F-0ED9-7AD9-2697-F310BFAD69D0}"/>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Okei Sadoh Levi O" refreshedDateIso="2026-07-14T11:22:04.7690002201125" createdVersion="8" refreshedVersion="8" minRefreshableVersion="3" recordCount="120" xr:uid="{7E8C4E0F-1028-4C48-8145-2045B4DE1754}">
  <cacheSource type="worksheet">
    <worksheetSource name="Table1"/>
  </cacheSource>
  <cacheFields count="29">
    <cacheField name="year" numFmtId="0">
      <sharedItems containsSemiMixedTypes="0" containsString="0" containsNumber="1" containsInteger="1" minValue="2020" maxValue="2026" count="7">
        <n v="2020"/>
        <n v="2021"/>
        <n v="2022"/>
        <n v="2023"/>
        <n v="2024"/>
        <n v="2025"/>
        <n v="2026"/>
      </sharedItems>
    </cacheField>
    <cacheField name="chip_name" numFmtId="0">
      <sharedItems count="30">
        <s v="NVIDIA V100"/>
        <s v="NVIDIA A100"/>
        <s v="NVIDIA H100"/>
        <s v="NVIDIA H200"/>
        <s v="NVIDIA L40S"/>
        <s v="NVIDIA B200"/>
        <s v="NVIDIA GB200"/>
        <s v="NVIDIA B300"/>
        <s v="AMD MI250X"/>
        <s v="AMD MI300X"/>
        <s v="AMD MI325X"/>
        <s v="AMD MI350"/>
        <s v="Google TPU v3"/>
        <s v="Google TPU v4"/>
        <s v="Google TPU v5e"/>
        <s v="Google TPU v5p"/>
        <s v="Google TPU v6 Trillium"/>
        <s v="Google TPU v7"/>
        <s v="AWS Trainium2"/>
        <s v="AWS Inferentia2"/>
        <s v="Cerebras WSE-3"/>
        <s v="Groq LPU"/>
        <s v="SambaNova SN40L"/>
        <s v="Tenstorrent Blackhole"/>
        <s v="Huawei Ascend 910"/>
        <s v="Huawei Ascend 910B"/>
        <s v="Huawei Ascend 910C"/>
        <s v="Cambricon MLU370"/>
        <s v="Apple M4 (NPU)"/>
        <s v="Apple M5 (NPU)"/>
      </sharedItems>
    </cacheField>
    <cacheField name="vendor" numFmtId="0">
      <sharedItems count="11">
        <s v="NVIDIA"/>
        <s v="AMD"/>
        <s v="Google"/>
        <s v="AWS"/>
        <s v="Cerebras"/>
        <s v="Groq"/>
        <s v="SambaNova"/>
        <s v="Tenstorrent"/>
        <s v="Huawei"/>
        <s v="Cambricon"/>
        <s v="Apple"/>
      </sharedItems>
    </cacheField>
    <cacheField name="launch_date" numFmtId="14">
      <sharedItems containsSemiMixedTypes="0" containsNonDate="0" containsDate="1" containsString="0" minDate="2017-05-10T00:00:00" maxDate="2025-12-16T00:00:00"/>
    </cacheField>
    <cacheField name="memory_gb" numFmtId="0">
      <sharedItems containsSemiMixedTypes="0" containsString="0" containsNumber="1" containsInteger="1" minValue="0" maxValue="1500"/>
    </cacheField>
    <cacheField name="skew(memory_gb)" numFmtId="0">
      <sharedItems containsSemiMixedTypes="0" containsString="0" containsNumber="1" minValue="4.4615286901096978" maxValue="4.4615286901096978"/>
    </cacheField>
    <cacheField name="log(memory_gb)" numFmtId="0">
      <sharedItems containsSemiMixedTypes="0" containsString="0" containsNumber="1" minValue="0" maxValue="7.3138868316334618"/>
    </cacheField>
    <cacheField name="log1(memory_gb)" numFmtId="0">
      <sharedItems containsSemiMixedTypes="0" containsString="0" containsNumber="1" minValue="-0.12349734745152156" maxValue="-0.12349734745152156"/>
    </cacheField>
    <cacheField name="fp16_tflops" numFmtId="0">
      <sharedItems containsSemiMixedTypes="0" containsString="0" containsNumber="1" containsInteger="1" minValue="38" maxValue="5000" count="27">
        <n v="100"/>
        <n v="312"/>
        <n v="989"/>
        <n v="362"/>
        <n v="2250"/>
        <n v="5000"/>
        <n v="3500"/>
        <n v="383"/>
        <n v="1300"/>
        <n v="1850"/>
        <n v="123"/>
        <n v="275"/>
        <n v="197"/>
        <n v="459"/>
        <n v="926"/>
        <n v="1500"/>
        <n v="650"/>
        <n v="190"/>
        <n v="1250"/>
        <n v="750"/>
        <n v="510"/>
        <n v="745"/>
        <n v="256"/>
        <n v="512"/>
        <n v="800"/>
        <n v="38"/>
        <n v="60"/>
      </sharedItems>
    </cacheField>
    <cacheField name="skew(f16_tflops)" numFmtId="0">
      <sharedItems containsSemiMixedTypes="0" containsString="0" containsNumber="1" minValue="3.0570434318989745" maxValue="3.0570434318989745"/>
    </cacheField>
    <cacheField name="log(fp16_tpflops)" numFmtId="0">
      <sharedItems containsSemiMixedTypes="0" containsString="0" containsNumber="1" minValue="3.6635616461296463" maxValue="8.5173931714189042"/>
    </cacheField>
    <cacheField name="log1(fp16-tflops)" numFmtId="0">
      <sharedItems containsMixedTypes="1" containsNumber="1" minValue="-1.7320508075688725" maxValue="1.9850585601427704"/>
    </cacheField>
    <cacheField name="tdp_watts" numFmtId="0">
      <sharedItems containsSemiMixedTypes="0" containsString="0" containsNumber="1" containsInteger="1" minValue="23" maxValue="23000"/>
    </cacheField>
    <cacheField name="skew(tdp_watts)" numFmtId="0">
      <sharedItems containsSemiMixedTypes="0" containsString="0" containsNumber="1" minValue="6.0149845187563642" maxValue="6.0149845187563642"/>
    </cacheField>
    <cacheField name="log(tdp_watts)" numFmtId="0">
      <sharedItems containsSemiMixedTypes="0" containsString="0" containsNumber="1" minValue="3.1780538303479458" maxValue="10.043292972227004"/>
    </cacheField>
    <cacheField name="log1(tdp_watts)" numFmtId="0">
      <sharedItems containsSemiMixedTypes="0" containsString="0" containsNumber="1" minValue="1.0730603511378047" maxValue="1.0730603511378047"/>
    </cacheField>
    <cacheField name="estimated_shipments_units" numFmtId="0">
      <sharedItems containsSemiMixedTypes="0" containsString="0" containsNumber="1" containsInteger="1" minValue="0" maxValue="2466989"/>
    </cacheField>
    <cacheField name="Skew(estimated_shipment" numFmtId="0">
      <sharedItems containsSemiMixedTypes="0" containsString="0" containsNumber="1" minValue="5.1829756087773609" maxValue="5.1829756087773609"/>
    </cacheField>
    <cacheField name="log(estimated_shipment-units)" numFmtId="0">
      <sharedItems containsSemiMixedTypes="0" containsString="0" containsNumber="1" minValue="0" maxValue="14.718509341996995"/>
    </cacheField>
    <cacheField name="log1 (estimated_shipment)" numFmtId="0">
      <sharedItems containsMixedTypes="1" containsNumber="1" minValue="-1.9376101270496113" maxValue="0.9790009531682522"/>
    </cacheField>
    <cacheField name="estimated_asp_usd" numFmtId="0">
      <sharedItems containsSemiMixedTypes="0" containsString="0" containsNumber="1" containsInteger="1" minValue="0" maxValue="2500000"/>
    </cacheField>
    <cacheField name="Skew(estimated_asp_usd)" numFmtId="0">
      <sharedItems containsSemiMixedTypes="0" containsString="0" containsNumber="1" minValue="6.1553602568167749" maxValue="6.1553602568167749"/>
    </cacheField>
    <cacheField name="log(estimated_asp_usd)" numFmtId="0">
      <sharedItems containsSemiMixedTypes="0" containsString="0" containsNumber="1" minValue="0" maxValue="14.731801689838349"/>
    </cacheField>
    <cacheField name="log1(estimated_asp_usd)" numFmtId="0">
      <sharedItems containsSemiMixedTypes="0" containsString="0" containsNumber="1" minValue="-2.8993473795411946" maxValue="-2.8993473795411946"/>
    </cacheField>
    <cacheField name="estimated_revenue_usd_m" numFmtId="0">
      <sharedItems containsSemiMixedTypes="0" containsString="0" containsNumber="1" minValue="0" maxValue="74009.7"/>
    </cacheField>
    <cacheField name="skew(estimated_revenue_usd)" numFmtId="0">
      <sharedItems containsSemiMixedTypes="0" containsString="0" containsNumber="1" minValue="5.8862244869270297" maxValue="5.8862244869270297"/>
    </cacheField>
    <cacheField name="log(estimated_revenue_usd)" numFmtId="0">
      <sharedItems containsSemiMixedTypes="0" containsString="0" containsNumber="1" minValue="0" maxValue="11.21196495632811"/>
    </cacheField>
    <cacheField name="log1(revenue)" numFmtId="0">
      <sharedItems containsSemiMixedTypes="0" containsString="0" containsNumber="1" minValue="0.2942815488436315" maxValue="0.2942815488436315"/>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Okei Sadoh Levi O" refreshedDateIso="2026-07-15T11:42:32.35999999567866300" backgroundQuery="1" createdVersion="8" refreshedVersion="8" minRefreshableVersion="3" recordCount="0" supportSubquery="1" supportAdvancedDrill="1" xr:uid="{C7D22BD3-50D0-48B7-B877-E56D72BF058E}">
  <cacheSource type="external" connectionId="1"/>
  <cacheFields count="3">
    <cacheField name="[Table1].[years_since_launch column].[years_since_launch column]" caption="years_since_launch column" numFmtId="0" hierarchy="4" level="1">
      <sharedItems containsSemiMixedTypes="0" containsString="0" containsNumber="1" containsInteger="1" minValue="0" maxValue="9" count="10">
        <n v="0"/>
        <n v="1"/>
        <n v="2"/>
        <n v="3"/>
        <n v="4"/>
        <n v="5"/>
        <n v="6"/>
        <n v="7"/>
        <n v="8"/>
        <n v="9"/>
      </sharedItems>
      <extLst>
        <ext xmlns:x15="http://schemas.microsoft.com/office/spreadsheetml/2010/11/main" uri="{4F2E5C28-24EA-4eb8-9CBF-B6C8F9C3D259}">
          <x15:cachedUniqueNames>
            <x15:cachedUniqueName index="0" name="[Table1].[years_since_launch column].&amp;[0]"/>
            <x15:cachedUniqueName index="1" name="[Table1].[years_since_launch column].&amp;[1]"/>
            <x15:cachedUniqueName index="2" name="[Table1].[years_since_launch column].&amp;[2]"/>
            <x15:cachedUniqueName index="3" name="[Table1].[years_since_launch column].&amp;[3]"/>
            <x15:cachedUniqueName index="4" name="[Table1].[years_since_launch column].&amp;[4]"/>
            <x15:cachedUniqueName index="5" name="[Table1].[years_since_launch column].&amp;[5]"/>
            <x15:cachedUniqueName index="6" name="[Table1].[years_since_launch column].&amp;[6]"/>
            <x15:cachedUniqueName index="7" name="[Table1].[years_since_launch column].&amp;[7]"/>
            <x15:cachedUniqueName index="8" name="[Table1].[years_since_launch column].&amp;[8]"/>
            <x15:cachedUniqueName index="9" name="[Table1].[years_since_launch column].&amp;[9]"/>
          </x15:cachedUniqueNames>
        </ext>
      </extLst>
    </cacheField>
    <cacheField name="[Table1].[chip_name].[chip_name]" caption="chip_name" numFmtId="0" hierarchy="1" level="1">
      <sharedItems count="30">
        <s v="AMD MI250X"/>
        <s v="AMD MI300X"/>
        <s v="AMD MI325X"/>
        <s v="AMD MI350"/>
        <s v="Apple M4 (NPU)"/>
        <s v="Apple M5 (NPU)"/>
        <s v="AWS Inferentia2"/>
        <s v="AWS Trainium2"/>
        <s v="Cambricon MLU370"/>
        <s v="Cerebras WSE-3"/>
        <s v="Google TPU v3"/>
        <s v="Google TPU v4"/>
        <s v="Google TPU v5e"/>
        <s v="Google TPU v5p"/>
        <s v="Google TPU v6 Trillium"/>
        <s v="Google TPU v7"/>
        <s v="Groq LPU"/>
        <s v="Huawei Ascend 910"/>
        <s v="Huawei Ascend 910B"/>
        <s v="Huawei Ascend 910C"/>
        <s v="NVIDIA A100"/>
        <s v="NVIDIA B200"/>
        <s v="NVIDIA B300"/>
        <s v="NVIDIA GB200"/>
        <s v="NVIDIA H100"/>
        <s v="NVIDIA H200"/>
        <s v="NVIDIA L40S"/>
        <s v="NVIDIA V100"/>
        <s v="SambaNova SN40L"/>
        <s v="Tenstorrent Blackhole"/>
      </sharedItems>
    </cacheField>
    <cacheField name="[Measures].[Sum of estimated_shipments_units]" caption="Sum of estimated_shipments_units" numFmtId="0" hierarchy="34" level="32767"/>
  </cacheFields>
  <cacheHierarchies count="35">
    <cacheHierarchy uniqueName="[Table1].[year]" caption="year" attribute="1" defaultMemberUniqueName="[Table1].[year].[All]" allUniqueName="[Table1].[year].[All]" dimensionUniqueName="[Table1]" displayFolder="" count="0" memberValueDatatype="20" unbalanced="0"/>
    <cacheHierarchy uniqueName="[Table1].[chip_name]" caption="chip_name" attribute="1" defaultMemberUniqueName="[Table1].[chip_name].[All]" allUniqueName="[Table1].[chip_name].[All]" dimensionUniqueName="[Table1]" displayFolder="" count="2" memberValueDatatype="130" unbalanced="0">
      <fieldsUsage count="2">
        <fieldUsage x="-1"/>
        <fieldUsage x="1"/>
      </fieldsUsage>
    </cacheHierarchy>
    <cacheHierarchy uniqueName="[Table1].[vendor]" caption="vendor" attribute="1" defaultMemberUniqueName="[Table1].[vendor].[All]" allUniqueName="[Table1].[vendor].[All]" dimensionUniqueName="[Table1]" displayFolder="" count="0" memberValueDatatype="130" unbalanced="0"/>
    <cacheHierarchy uniqueName="[Table1].[launch_date]" caption="launch_date" attribute="1" time="1" defaultMemberUniqueName="[Table1].[launch_date].[All]" allUniqueName="[Table1].[launch_date].[All]" dimensionUniqueName="[Table1]" displayFolder="" count="0" memberValueDatatype="7" unbalanced="0"/>
    <cacheHierarchy uniqueName="[Table1].[years_since_launch column]" caption="years_since_launch column" attribute="1" defaultMemberUniqueName="[Table1].[years_since_launch column].[All]" allUniqueName="[Table1].[years_since_launch column].[All]" dimensionUniqueName="[Table1]" displayFolder="" count="2" memberValueDatatype="20" unbalanced="0">
      <fieldsUsage count="2">
        <fieldUsage x="-1"/>
        <fieldUsage x="0"/>
      </fieldsUsage>
    </cacheHierarchy>
    <cacheHierarchy uniqueName="[Table1].[memory_gb]" caption="memory_gb" attribute="1" defaultMemberUniqueName="[Table1].[memory_gb].[All]" allUniqueName="[Table1].[memory_gb].[All]" dimensionUniqueName="[Table1]" displayFolder="" count="0" memberValueDatatype="20" unbalanced="0"/>
    <cacheHierarchy uniqueName="[Table1].[skew(memory_gb)]" caption="skew(memory_gb)" attribute="1" defaultMemberUniqueName="[Table1].[skew(memory_gb)].[All]" allUniqueName="[Table1].[skew(memory_gb)].[All]" dimensionUniqueName="[Table1]" displayFolder="" count="0" memberValueDatatype="5" unbalanced="0"/>
    <cacheHierarchy uniqueName="[Table1].[log(memory_gb)]" caption="log(memory_gb)" attribute="1" defaultMemberUniqueName="[Table1].[log(memory_gb)].[All]" allUniqueName="[Table1].[log(memory_gb)].[All]" dimensionUniqueName="[Table1]" displayFolder="" count="0" memberValueDatatype="5" unbalanced="0"/>
    <cacheHierarchy uniqueName="[Table1].[log1(memory_gb)]" caption="log1(memory_gb)" attribute="1" defaultMemberUniqueName="[Table1].[log1(memory_gb)].[All]" allUniqueName="[Table1].[log1(memory_gb)].[All]" dimensionUniqueName="[Table1]" displayFolder="" count="0" memberValueDatatype="5" unbalanced="0"/>
    <cacheHierarchy uniqueName="[Table1].[fp16_tflops]" caption="fp16_tflops" attribute="1" defaultMemberUniqueName="[Table1].[fp16_tflops].[All]" allUniqueName="[Table1].[fp16_tflops].[All]" dimensionUniqueName="[Table1]" displayFolder="" count="0" memberValueDatatype="20" unbalanced="0"/>
    <cacheHierarchy uniqueName="[Table1].[skew(f16_tflops)]" caption="skew(f16_tflops)" attribute="1" defaultMemberUniqueName="[Table1].[skew(f16_tflops)].[All]" allUniqueName="[Table1].[skew(f16_tflops)].[All]" dimensionUniqueName="[Table1]" displayFolder="" count="0" memberValueDatatype="5" unbalanced="0"/>
    <cacheHierarchy uniqueName="[Table1].[log(fp16_tpflops)]" caption="log(fp16_tpflops)" attribute="1" defaultMemberUniqueName="[Table1].[log(fp16_tpflops)].[All]" allUniqueName="[Table1].[log(fp16_tpflops)].[All]" dimensionUniqueName="[Table1]" displayFolder="" count="0" memberValueDatatype="5" unbalanced="0"/>
    <cacheHierarchy uniqueName="[Table1].[log1(fp16-tflops)]" caption="log1(fp16-tflops)" attribute="1" defaultMemberUniqueName="[Table1].[log1(fp16-tflops)].[All]" allUniqueName="[Table1].[log1(fp16-tflops)].[All]" dimensionUniqueName="[Table1]" displayFolder="" count="0" memberValueDatatype="130" unbalanced="0"/>
    <cacheHierarchy uniqueName="[Table1].[tdp_watts]" caption="tdp_watts" attribute="1" defaultMemberUniqueName="[Table1].[tdp_watts].[All]" allUniqueName="[Table1].[tdp_watts].[All]" dimensionUniqueName="[Table1]" displayFolder="" count="0" memberValueDatatype="20" unbalanced="0"/>
    <cacheHierarchy uniqueName="[Table1].[skew(tdp_watts)]" caption="skew(tdp_watts)" attribute="1" defaultMemberUniqueName="[Table1].[skew(tdp_watts)].[All]" allUniqueName="[Table1].[skew(tdp_watts)].[All]" dimensionUniqueName="[Table1]" displayFolder="" count="0" memberValueDatatype="5" unbalanced="0"/>
    <cacheHierarchy uniqueName="[Table1].[log(tdp_watts)]" caption="log(tdp_watts)" attribute="1" defaultMemberUniqueName="[Table1].[log(tdp_watts)].[All]" allUniqueName="[Table1].[log(tdp_watts)].[All]" dimensionUniqueName="[Table1]" displayFolder="" count="0" memberValueDatatype="5" unbalanced="0"/>
    <cacheHierarchy uniqueName="[Table1].[Efficiency]" caption="Efficiency" attribute="1" defaultMemberUniqueName="[Table1].[Efficiency].[All]" allUniqueName="[Table1].[Efficiency].[All]" dimensionUniqueName="[Table1]" displayFolder="" count="0" memberValueDatatype="5" unbalanced="0"/>
    <cacheHierarchy uniqueName="[Table1].[log1(tdp_watts)]" caption="log1(tdp_watts)" attribute="1" defaultMemberUniqueName="[Table1].[log1(tdp_watts)].[All]" allUniqueName="[Table1].[log1(tdp_watts)].[All]" dimensionUniqueName="[Table1]" displayFolder="" count="0" memberValueDatatype="5" unbalanced="0"/>
    <cacheHierarchy uniqueName="[Table1].[estimated_shipments_units]" caption="estimated_shipments_units" attribute="1" defaultMemberUniqueName="[Table1].[estimated_shipments_units].[All]" allUniqueName="[Table1].[estimated_shipments_units].[All]" dimensionUniqueName="[Table1]" displayFolder="" count="0" memberValueDatatype="20" unbalanced="0"/>
    <cacheHierarchy uniqueName="[Table1].[Skew(estimated_shipment]" caption="Skew(estimated_shipment" attribute="1" defaultMemberUniqueName="[Table1].[Skew(estimated_shipment].[All]" allUniqueName="[Table1].[Skew(estimated_shipment].[All]" dimensionUniqueName="[Table1]" displayFolder="" count="0" memberValueDatatype="5" unbalanced="0"/>
    <cacheHierarchy uniqueName="[Table1].[log(estimated_shipment-units)]" caption="log(estimated_shipment-units)" attribute="1" defaultMemberUniqueName="[Table1].[log(estimated_shipment-units)].[All]" allUniqueName="[Table1].[log(estimated_shipment-units)].[All]" dimensionUniqueName="[Table1]" displayFolder="" count="0" memberValueDatatype="5" unbalanced="0"/>
    <cacheHierarchy uniqueName="[Table1].[log1 (estimated_shipment)]" caption="log1 (estimated_shipment)" attribute="1" defaultMemberUniqueName="[Table1].[log1 (estimated_shipment)].[All]" allUniqueName="[Table1].[log1 (estimated_shipment)].[All]" dimensionUniqueName="[Table1]" displayFolder="" count="0" memberValueDatatype="130" unbalanced="0"/>
    <cacheHierarchy uniqueName="[Table1].[estimated_asp_usd]" caption="estimated_asp_usd" attribute="1" defaultMemberUniqueName="[Table1].[estimated_asp_usd].[All]" allUniqueName="[Table1].[estimated_asp_usd].[All]" dimensionUniqueName="[Table1]" displayFolder="" count="0" memberValueDatatype="20" unbalanced="0"/>
    <cacheHierarchy uniqueName="[Table1].[Skew(estimated_asp_usd)]" caption="Skew(estimated_asp_usd)" attribute="1" defaultMemberUniqueName="[Table1].[Skew(estimated_asp_usd)].[All]" allUniqueName="[Table1].[Skew(estimated_asp_usd)].[All]" dimensionUniqueName="[Table1]" displayFolder="" count="0" memberValueDatatype="5" unbalanced="0"/>
    <cacheHierarchy uniqueName="[Table1].[log(estimated_asp_usd)]" caption="log(estimated_asp_usd)" attribute="1" defaultMemberUniqueName="[Table1].[log(estimated_asp_usd)].[All]" allUniqueName="[Table1].[log(estimated_asp_usd)].[All]" dimensionUniqueName="[Table1]" displayFolder="" count="0" memberValueDatatype="5" unbalanced="0"/>
    <cacheHierarchy uniqueName="[Table1].[log1(estimated_asp_usd)]" caption="log1(estimated_asp_usd)" attribute="1" defaultMemberUniqueName="[Table1].[log1(estimated_asp_usd)].[All]" allUniqueName="[Table1].[log1(estimated_asp_usd)].[All]" dimensionUniqueName="[Table1]" displayFolder="" count="0" memberValueDatatype="5" unbalanced="0"/>
    <cacheHierarchy uniqueName="[Table1].[Value_per_dollar]" caption="Value_per_dollar" attribute="1" defaultMemberUniqueName="[Table1].[Value_per_dollar].[All]" allUniqueName="[Table1].[Value_per_dollar].[All]" dimensionUniqueName="[Table1]" displayFolder="" count="0" memberValueDatatype="130" unbalanced="0"/>
    <cacheHierarchy uniqueName="[Table1].[estimated_revenue_usd_m]" caption="estimated_revenue_usd_m" attribute="1" defaultMemberUniqueName="[Table1].[estimated_revenue_usd_m].[All]" allUniqueName="[Table1].[estimated_revenue_usd_m].[All]" dimensionUniqueName="[Table1]" displayFolder="" count="0" memberValueDatatype="5" unbalanced="0"/>
    <cacheHierarchy uniqueName="[Table1].[skew(estimated_revenue_usd)]" caption="skew(estimated_revenue_usd)" attribute="1" defaultMemberUniqueName="[Table1].[skew(estimated_revenue_usd)].[All]" allUniqueName="[Table1].[skew(estimated_revenue_usd)].[All]" dimensionUniqueName="[Table1]" displayFolder="" count="0" memberValueDatatype="5" unbalanced="0"/>
    <cacheHierarchy uniqueName="[Table1].[log(estimated_revenue_usd)]" caption="log(estimated_revenue_usd)" attribute="1" defaultMemberUniqueName="[Table1].[log(estimated_revenue_usd)].[All]" allUniqueName="[Table1].[log(estimated_revenue_usd)].[All]" dimensionUniqueName="[Table1]" displayFolder="" count="0" memberValueDatatype="5" unbalanced="0"/>
    <cacheHierarchy uniqueName="[Table1].[log1(revenue)]" caption="log1(revenue)" attribute="1" defaultMemberUniqueName="[Table1].[log1(revenue)].[All]" allUniqueName="[Table1].[log1(revenue)].[All]" dimensionUniqueName="[Table1]" displayFolder="" count="0" memberValueDatatype="5"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stimated_shipments_units]" caption="Sum of estimated_shipments_units"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20">
  <r>
    <x v="0"/>
    <x v="0"/>
    <x v="0"/>
    <d v="2017-05-10T00:00:00"/>
    <n v="32"/>
    <n v="4.4615286901096978"/>
    <n v="3.4965075614664802"/>
    <n v="-0.12349734745152156"/>
    <x v="0"/>
    <n v="3.0570434318989745"/>
    <n v="4.6151205168412597"/>
    <n v="9.1349618152641116E-2"/>
    <n v="300"/>
    <n v="6.0149845187563642"/>
    <n v="5.7071102647488754"/>
    <n v="1.0730603511378047"/>
    <n v="6128"/>
    <n v="5.1829756087773609"/>
    <n v="8.7207868834857312"/>
    <n v="-0.34996924658063927"/>
    <n v="15000"/>
    <n v="6.1553602568167749"/>
    <n v="9.6158721445288897"/>
    <n v="-2.8993473795411946"/>
    <n v="91.9"/>
    <n v="5.8862244869270297"/>
    <n v="4.5315236458197932"/>
    <n v="0.2942815488436315"/>
    <s v="Volta data center GPU"/>
  </r>
  <r>
    <x v="1"/>
    <x v="0"/>
    <x v="0"/>
    <d v="2017-05-10T00:00:00"/>
    <n v="32"/>
    <n v="4.4615286901096978"/>
    <n v="3.4965075614664802"/>
    <n v="-0.12349734745152156"/>
    <x v="0"/>
    <n v="3.0570434318989745"/>
    <n v="4.6151205168412597"/>
    <n v="8.1122910483168123E-2"/>
    <n v="300"/>
    <n v="6.0149845187563642"/>
    <n v="5.7071102647488754"/>
    <n v="1.0730603511378047"/>
    <n v="2719"/>
    <n v="5.1829756087773609"/>
    <n v="7.9083871592900428"/>
    <n v="-0.34563574116460932"/>
    <n v="15000"/>
    <n v="6.1553602568167749"/>
    <n v="9.6158721445288897"/>
    <n v="-2.8993473795411946"/>
    <n v="40.799999999999997"/>
    <n v="5.8862244869270297"/>
    <n v="3.7328963395307104"/>
    <n v="0.2942815488436315"/>
    <s v="Volta data center GPU"/>
  </r>
  <r>
    <x v="2"/>
    <x v="0"/>
    <x v="0"/>
    <d v="2017-05-10T00:00:00"/>
    <n v="32"/>
    <n v="4.4615286901096978"/>
    <n v="3.4965075614664802"/>
    <n v="-0.12349734745152156"/>
    <x v="0"/>
    <n v="3.0570434318989745"/>
    <n v="4.6151205168412597"/>
    <n v="7.111603052327338E-2"/>
    <n v="300"/>
    <n v="6.0149845187563642"/>
    <n v="5.7071102647488754"/>
    <n v="1.0730603511378047"/>
    <n v="3098"/>
    <n v="5.1829756087773609"/>
    <n v="8.0388347577877486"/>
    <n v="-0.34718560281293165"/>
    <n v="15000"/>
    <n v="6.1553602568167749"/>
    <n v="9.6158721445288897"/>
    <n v="-2.8993473795411946"/>
    <n v="46.5"/>
    <n v="5.8862244869270297"/>
    <n v="3.8607297110405954"/>
    <n v="0.2942815488436315"/>
    <s v="Volta data center GPU"/>
  </r>
  <r>
    <x v="3"/>
    <x v="0"/>
    <x v="0"/>
    <d v="2017-05-10T00:00:00"/>
    <n v="32"/>
    <n v="4.4615286901096978"/>
    <n v="3.4965075614664802"/>
    <n v="-0.12349734745152156"/>
    <x v="0"/>
    <n v="3.0570434318989745"/>
    <n v="4.6151205168412597"/>
    <n v="6.1371503032716421E-2"/>
    <n v="300"/>
    <n v="6.0149845187563642"/>
    <n v="5.7071102647488754"/>
    <n v="1.0730603511378047"/>
    <n v="2572"/>
    <n v="5.1829756087773609"/>
    <n v="7.8528278122817445"/>
    <n v="-0.34777453458993729"/>
    <n v="15000"/>
    <n v="6.1553602568167749"/>
    <n v="9.6158721445288897"/>
    <n v="-2.8993473795411946"/>
    <n v="38.6"/>
    <n v="5.8862244869270297"/>
    <n v="3.6788291182604347"/>
    <n v="0.2942815488436315"/>
    <s v="Volta data center GPU"/>
  </r>
  <r>
    <x v="4"/>
    <x v="0"/>
    <x v="0"/>
    <d v="2017-05-10T00:00:00"/>
    <n v="32"/>
    <n v="4.4615286901096978"/>
    <n v="3.4965075614664802"/>
    <n v="-0.12349734745152156"/>
    <x v="0"/>
    <n v="3.0570434318989745"/>
    <n v="4.6151205168412597"/>
    <n v="5.1938456938756455E-2"/>
    <n v="300"/>
    <n v="6.0149845187563642"/>
    <n v="5.7071102647488754"/>
    <n v="1.0730603511378047"/>
    <n v="3437"/>
    <n v="5.1829756087773609"/>
    <n v="8.1426451859427953"/>
    <n v="-0.3497830203634853"/>
    <n v="15000"/>
    <n v="6.1553602568167749"/>
    <n v="9.6158721445288897"/>
    <n v="-2.8993473795411946"/>
    <n v="51.6"/>
    <n v="5.8862244869270297"/>
    <n v="3.9627161197436642"/>
    <n v="0.2942815488436315"/>
    <s v="Volta data center GPU"/>
  </r>
  <r>
    <x v="5"/>
    <x v="0"/>
    <x v="0"/>
    <d v="2017-05-10T00:00:00"/>
    <n v="32"/>
    <n v="4.4615286901096978"/>
    <n v="3.4965075614664802"/>
    <n v="-0.12349734745152156"/>
    <x v="0"/>
    <n v="3.0570434318989745"/>
    <n v="4.6151205168412597"/>
    <n v="4.2873780361390779E-2"/>
    <n v="300"/>
    <n v="6.0149845187563642"/>
    <n v="5.7071102647488754"/>
    <n v="1.0730603511378047"/>
    <n v="2504"/>
    <n v="5.1829756087773609"/>
    <n v="7.8260440135189651"/>
    <n v="-0.3496190916259434"/>
    <n v="15000"/>
    <n v="6.1553602568167749"/>
    <n v="9.6158721445288897"/>
    <n v="-2.8993473795411946"/>
    <n v="37.6"/>
    <n v="5.8862244869270297"/>
    <n v="3.6532522764707851"/>
    <n v="0.2942815488436315"/>
    <s v="Volta data center GPU"/>
  </r>
  <r>
    <x v="6"/>
    <x v="0"/>
    <x v="0"/>
    <d v="2017-05-10T00:00:00"/>
    <n v="32"/>
    <n v="4.4615286901096978"/>
    <n v="3.4965075614664802"/>
    <n v="-0.12349734745152156"/>
    <x v="0"/>
    <n v="3.0570434318989745"/>
    <n v="4.6151205168412597"/>
    <n v="3.4243510825407525E-2"/>
    <n v="300"/>
    <n v="6.0149845187563642"/>
    <n v="5.7071102647488754"/>
    <n v="1.0730603511378047"/>
    <n v="2873"/>
    <n v="5.1829756087773609"/>
    <n v="7.9634600666389703"/>
    <n v="-0.35187389687356457"/>
    <n v="15000"/>
    <n v="6.1553602568167749"/>
    <n v="9.6158721445288897"/>
    <n v="-2.8993473795411946"/>
    <n v="43.1"/>
    <n v="5.8862244869270297"/>
    <n v="3.7864597824528001"/>
    <n v="0.2942815488436315"/>
    <s v="Volta data center GPU"/>
  </r>
  <r>
    <x v="0"/>
    <x v="1"/>
    <x v="0"/>
    <d v="2020-05-14T00:00:00"/>
    <n v="40"/>
    <n v="4.4615286901096978"/>
    <n v="3.713572066704308"/>
    <n v="-0.12349734745152156"/>
    <x v="1"/>
    <n v="3.0570434318989745"/>
    <n v="5.7462031905401529"/>
    <n v="2.6124516335953158E-2"/>
    <n v="400"/>
    <n v="6.0149845187563642"/>
    <n v="5.9939614273065693"/>
    <n v="1.0730603511378047"/>
    <n v="32054"/>
    <n v="5.1829756087773609"/>
    <n v="10.375208456421358"/>
    <n v="-0.35310068515330856"/>
    <n v="15000"/>
    <n v="6.1553602568167749"/>
    <n v="9.6158721445288897"/>
    <n v="-2.8993473795411946"/>
    <n v="480.8"/>
    <n v="5.8862244869270297"/>
    <n v="6.1775290901807711"/>
    <n v="0.2942815488436315"/>
    <s v="Ampere, ML training standard 2020-2022"/>
  </r>
  <r>
    <x v="1"/>
    <x v="1"/>
    <x v="0"/>
    <d v="2020-05-14T00:00:00"/>
    <n v="40"/>
    <n v="4.4615286901096978"/>
    <n v="3.713572066704308"/>
    <n v="-0.12349734745152156"/>
    <x v="1"/>
    <n v="3.0570434318989745"/>
    <n v="5.7462031905401529"/>
    <n v="1.5758741511454136E-2"/>
    <n v="400"/>
    <n v="6.0149845187563642"/>
    <n v="5.9939614273065693"/>
    <n v="1.0730603511378047"/>
    <n v="204990"/>
    <n v="5.1829756087773609"/>
    <n v="12.230721354717781"/>
    <n v="-0.33934602671819969"/>
    <n v="15000"/>
    <n v="6.1553602568167749"/>
    <n v="9.6158721445288897"/>
    <n v="-2.8993473795411946"/>
    <n v="3074.8"/>
    <n v="5.8862244869270297"/>
    <n v="8.0313203090058227"/>
    <n v="0.2942815488436315"/>
    <s v="Ampere, ML training standard 2020-2022"/>
  </r>
  <r>
    <x v="2"/>
    <x v="1"/>
    <x v="0"/>
    <d v="2020-05-14T00:00:00"/>
    <n v="40"/>
    <n v="4.4615286901096978"/>
    <n v="3.713572066704308"/>
    <n v="-0.12349734745152156"/>
    <x v="1"/>
    <n v="3.0570434318989745"/>
    <n v="5.7462031905401529"/>
    <n v="5.2736180989520019E-3"/>
    <n v="400"/>
    <n v="6.0149845187563642"/>
    <n v="5.9939614273065693"/>
    <n v="1.0730603511378047"/>
    <n v="145343"/>
    <n v="5.1829756087773609"/>
    <n v="11.88685862546523"/>
    <n v="-0.32530043551728061"/>
    <n v="15000"/>
    <n v="6.1553602568167749"/>
    <n v="9.6158721445288897"/>
    <n v="-2.8993473795411946"/>
    <n v="2180.1"/>
    <n v="5.8862244869270297"/>
    <n v="7.6875846156778067"/>
    <n v="0.2942815488436315"/>
    <s v="Ampere, ML training standard 2020-2022"/>
  </r>
  <r>
    <x v="3"/>
    <x v="1"/>
    <x v="0"/>
    <d v="2020-05-14T00:00:00"/>
    <n v="40"/>
    <n v="4.4615286901096978"/>
    <n v="3.713572066704308"/>
    <n v="-0.12349734745152156"/>
    <x v="1"/>
    <n v="3.0570434318989745"/>
    <n v="5.7462031905401529"/>
    <n v="-5.3339601130988181E-3"/>
    <n v="400"/>
    <n v="6.0149845187563642"/>
    <n v="5.9939614273065693"/>
    <n v="1.0730603511378047"/>
    <n v="76814"/>
    <n v="5.1829756087773609"/>
    <n v="11.24915521256476"/>
    <n v="-0.30993316150420475"/>
    <n v="15000"/>
    <n v="6.1553602568167749"/>
    <n v="9.6158721445288897"/>
    <n v="-2.8993473795411946"/>
    <n v="1152.2"/>
    <n v="5.8862244869270297"/>
    <n v="7.0502959657642474"/>
    <n v="0.2942815488436315"/>
    <s v="Ampere, ML training standard 2020-2022"/>
  </r>
  <r>
    <x v="4"/>
    <x v="1"/>
    <x v="0"/>
    <d v="2020-05-14T00:00:00"/>
    <n v="40"/>
    <n v="4.4615286901096978"/>
    <n v="3.713572066704308"/>
    <n v="-0.12349734745152156"/>
    <x v="1"/>
    <n v="3.0570434318989745"/>
    <n v="5.7462031905401529"/>
    <n v="-1.6067219499704744E-2"/>
    <n v="400"/>
    <n v="6.0149845187563642"/>
    <n v="5.9939614273065693"/>
    <n v="1.0730603511378047"/>
    <n v="28956"/>
    <n v="5.1829756087773609"/>
    <n v="10.273567249973496"/>
    <n v="-0.29366617378097737"/>
    <n v="15000"/>
    <n v="6.1553602568167749"/>
    <n v="9.6158721445288897"/>
    <n v="-2.8993473795411946"/>
    <n v="434.3"/>
    <n v="5.8862244869270297"/>
    <n v="6.076035448558252"/>
    <n v="0.2942815488436315"/>
    <s v="Ampere, ML training standard 2020-2022"/>
  </r>
  <r>
    <x v="5"/>
    <x v="1"/>
    <x v="0"/>
    <d v="2020-05-14T00:00:00"/>
    <n v="40"/>
    <n v="4.4615286901096978"/>
    <n v="3.713572066704308"/>
    <n v="-0.12349734745152156"/>
    <x v="1"/>
    <n v="3.0570434318989745"/>
    <n v="5.7462031905401529"/>
    <n v="-2.6929512726760325E-2"/>
    <n v="400"/>
    <n v="6.0149845187563642"/>
    <n v="5.9939614273065693"/>
    <n v="1.0730603511378047"/>
    <n v="26870"/>
    <n v="5.1829756087773609"/>
    <n v="10.198802917143304"/>
    <n v="-0.27937395711554597"/>
    <n v="15000"/>
    <n v="6.1553602568167749"/>
    <n v="9.6158721445288897"/>
    <n v="-2.8993473795411946"/>
    <n v="403.1"/>
    <n v="5.8862244869270297"/>
    <n v="6.0016623720844278"/>
    <n v="0.2942815488436315"/>
    <s v="Ampere, ML training standard 2020-2022"/>
  </r>
  <r>
    <x v="6"/>
    <x v="1"/>
    <x v="0"/>
    <d v="2020-05-14T00:00:00"/>
    <n v="40"/>
    <n v="4.4615286901096978"/>
    <n v="3.713572066704308"/>
    <n v="-0.12349734745152156"/>
    <x v="1"/>
    <n v="3.0570434318989745"/>
    <n v="5.7462031905401529"/>
    <n v="-3.7924325266205247E-2"/>
    <n v="400"/>
    <n v="6.0149845187563642"/>
    <n v="5.9939614273065693"/>
    <n v="1.0730603511378047"/>
    <n v="32264"/>
    <n v="5.1829756087773609"/>
    <n v="10.38173833036994"/>
    <n v="-0.26520444813660138"/>
    <n v="15000"/>
    <n v="6.1553602568167749"/>
    <n v="9.6158721445288897"/>
    <n v="-2.8993473795411946"/>
    <n v="484"/>
    <n v="5.8862244869270297"/>
    <n v="6.1841488909374833"/>
    <n v="0.2942815488436315"/>
    <s v="Ampere, ML training standard 2020-2022"/>
  </r>
  <r>
    <x v="3"/>
    <x v="2"/>
    <x v="0"/>
    <d v="2023-03-22T00:00:00"/>
    <n v="80"/>
    <n v="4.4615286901096978"/>
    <n v="4.3944491546724391"/>
    <n v="-0.12349734745152156"/>
    <x v="2"/>
    <n v="3.0570434318989745"/>
    <n v="6.8977049431286357"/>
    <n v="-4.9055282328263512E-2"/>
    <n v="700"/>
    <n v="6.0149845187563642"/>
    <n v="6.5525078870345901"/>
    <n v="1.0730603511378047"/>
    <n v="582977"/>
    <n v="5.1829756087773609"/>
    <n v="13.275904728771557"/>
    <n v="-0.25011281439769928"/>
    <n v="30000"/>
    <n v="6.1553602568167749"/>
    <n v="10.308985993422082"/>
    <n v="-2.8993473795411946"/>
    <n v="17489.3"/>
    <n v="5.8862244869270297"/>
    <n v="9.7694017205242041"/>
    <n v="0.2942815488436315"/>
    <s v="Hopper, defined 2023-2024 AI boom"/>
  </r>
  <r>
    <x v="4"/>
    <x v="2"/>
    <x v="0"/>
    <d v="2023-03-22T00:00:00"/>
    <n v="80"/>
    <n v="4.4615286901096978"/>
    <n v="4.3944491546724391"/>
    <n v="-0.12349734745152156"/>
    <x v="2"/>
    <n v="3.0570434318989745"/>
    <n v="6.8977049431286357"/>
    <n v="-3.2046704146127508E-2"/>
    <n v="700"/>
    <n v="6.0149845187563642"/>
    <n v="6.5525078870345901"/>
    <n v="1.0730603511378047"/>
    <n v="2466989"/>
    <n v="5.1829756087773609"/>
    <n v="14.718509341996995"/>
    <n v="-0.24248703036140959"/>
    <n v="30000"/>
    <n v="6.1553602568167749"/>
    <n v="10.308985993422082"/>
    <n v="-2.8993473795411946"/>
    <n v="74009.7"/>
    <n v="5.8862244869270297"/>
    <n v="11.21196495632811"/>
    <n v="0.2942815488436315"/>
    <s v="Hopper, defined 2023-2024 AI boom"/>
  </r>
  <r>
    <x v="5"/>
    <x v="2"/>
    <x v="0"/>
    <d v="2023-03-22T00:00:00"/>
    <n v="80"/>
    <n v="4.4615286901096978"/>
    <n v="4.3944491546724391"/>
    <n v="-0.12349734745152156"/>
    <x v="2"/>
    <n v="3.0570434318989745"/>
    <n v="6.8977049431286357"/>
    <n v="-1.4756044067311741E-2"/>
    <n v="700"/>
    <n v="6.0149845187563642"/>
    <n v="6.5525078870345901"/>
    <n v="1.0730603511378047"/>
    <n v="1874943"/>
    <n v="5.1829756087773609"/>
    <n v="14.444089350273964"/>
    <n v="-0.26079630791201508"/>
    <n v="30000"/>
    <n v="6.1553602568167749"/>
    <n v="10.308985993422082"/>
    <n v="-2.8993473795411946"/>
    <n v="56248.3"/>
    <n v="5.8862244869270297"/>
    <n v="10.93754887554479"/>
    <n v="0.2942815488436315"/>
    <s v="Hopper, defined 2023-2024 AI boom"/>
  </r>
  <r>
    <x v="6"/>
    <x v="2"/>
    <x v="0"/>
    <d v="2023-03-22T00:00:00"/>
    <n v="80"/>
    <n v="4.4615286901096978"/>
    <n v="4.3944491546724391"/>
    <n v="-0.12349734745152156"/>
    <x v="2"/>
    <n v="3.0570434318989745"/>
    <n v="6.8977049431286357"/>
    <n v="2.8272428629031849E-3"/>
    <n v="700"/>
    <n v="6.0149845187563642"/>
    <n v="6.5525078870345901"/>
    <n v="1.0730603511378047"/>
    <n v="1126912"/>
    <n v="5.1829756087773609"/>
    <n v="13.934992593946312"/>
    <n v="-0.27685694444847853"/>
    <n v="30000"/>
    <n v="6.1553602568167749"/>
    <n v="10.308985993422082"/>
    <n v="-2.8993473795411946"/>
    <n v="33807.4"/>
    <n v="5.8862244869270297"/>
    <n v="10.428464571305014"/>
    <n v="0.2942815488436315"/>
    <s v="Hopper, defined 2023-2024 AI boom"/>
  </r>
  <r>
    <x v="4"/>
    <x v="3"/>
    <x v="0"/>
    <d v="2024-04-15T00:00:00"/>
    <n v="141"/>
    <n v="4.4615286901096978"/>
    <n v="4.9558270576012609"/>
    <n v="-0.12349734745152156"/>
    <x v="2"/>
    <n v="3.0570434318989745"/>
    <n v="6.8977049431286357"/>
    <n v="2.0714287186842793E-2"/>
    <n v="700"/>
    <n v="6.0149845187563642"/>
    <n v="6.5525078870345901"/>
    <n v="1.0730603511378047"/>
    <n v="115829"/>
    <n v="5.1829756087773609"/>
    <n v="11.659878877926392"/>
    <n v="-0.28533772298074989"/>
    <n v="32000"/>
    <n v="6.1553602568167749"/>
    <n v="10.373522431293592"/>
    <n v="-2.8993473795411946"/>
    <n v="3706.5"/>
    <n v="5.8862244869270297"/>
    <n v="8.2181130740120878"/>
    <n v="0.2942815488436315"/>
    <s v="Hopper refresh, 141GB HBM3e"/>
  </r>
  <r>
    <x v="5"/>
    <x v="3"/>
    <x v="0"/>
    <d v="2024-04-15T00:00:00"/>
    <n v="141"/>
    <n v="4.4615286901096978"/>
    <n v="4.9558270576012609"/>
    <n v="-0.12349734745152156"/>
    <x v="2"/>
    <n v="3.0570434318989745"/>
    <n v="6.8977049431286357"/>
    <n v="3.891684796008215E-2"/>
    <n v="700"/>
    <n v="6.0149845187563642"/>
    <n v="6.5525078870345901"/>
    <n v="1.0730603511378047"/>
    <n v="573022"/>
    <n v="5.1829756087773609"/>
    <n v="13.258681134507359"/>
    <n v="-0.26885936750012684"/>
    <n v="32000"/>
    <n v="6.1553602568167749"/>
    <n v="10.373522431293592"/>
    <n v="-2.8993473795411946"/>
    <n v="18336.7"/>
    <n v="5.8862244869270297"/>
    <n v="9.8167143290038936"/>
    <n v="0.2942815488436315"/>
    <s v="Hopper refresh, 141GB HBM3e"/>
  </r>
  <r>
    <x v="6"/>
    <x v="3"/>
    <x v="0"/>
    <d v="2024-04-15T00:00:00"/>
    <n v="141"/>
    <n v="4.4615286901096978"/>
    <n v="4.9558270576012609"/>
    <n v="-0.12349734745152156"/>
    <x v="2"/>
    <n v="3.0570434318989745"/>
    <n v="6.8977049431286357"/>
    <n v="5.7447359592080513E-2"/>
    <n v="700"/>
    <n v="6.0149845187563642"/>
    <n v="6.5525078870345901"/>
    <n v="1.0730603511378047"/>
    <n v="487597"/>
    <n v="5.1829756087773609"/>
    <n v="13.097246574858119"/>
    <n v="-0.26754958275943003"/>
    <n v="32000"/>
    <n v="6.1553602568167749"/>
    <n v="10.373522431293592"/>
    <n v="-2.8993473795411946"/>
    <n v="15603.1"/>
    <n v="5.8862244869270297"/>
    <n v="9.6552889792191881"/>
    <n v="0.2942815488436315"/>
    <s v="Hopper refresh, 141GB HBM3e"/>
  </r>
  <r>
    <x v="3"/>
    <x v="4"/>
    <x v="0"/>
    <d v="2023-08-08T00:00:00"/>
    <n v="48"/>
    <n v="4.4615286901096978"/>
    <n v="3.8918202981106265"/>
    <n v="-0.12349734745152156"/>
    <x v="3"/>
    <n v="3.0570434318989745"/>
    <n v="5.8944028342648505"/>
    <n v="7.6318983030251683E-2"/>
    <n v="350"/>
    <n v="6.0149845187563642"/>
    <n v="5.8607862234658654"/>
    <n v="1.0730603511378047"/>
    <n v="51592"/>
    <n v="5.1829756087773609"/>
    <n v="10.851141283352423"/>
    <n v="-0.26505901246813207"/>
    <n v="15000"/>
    <n v="6.1553602568167749"/>
    <n v="9.6158721445288897"/>
    <n v="-2.8993473795411946"/>
    <n v="773.9"/>
    <n v="5.8862244869270297"/>
    <n v="6.6527339887699046"/>
    <n v="0.2942815488436315"/>
    <s v="Ada Lovelace inference"/>
  </r>
  <r>
    <x v="4"/>
    <x v="4"/>
    <x v="0"/>
    <d v="2023-08-08T00:00:00"/>
    <n v="48"/>
    <n v="4.4615286901096978"/>
    <n v="3.8918202981106265"/>
    <n v="-0.12349734745152156"/>
    <x v="3"/>
    <n v="3.0570434318989745"/>
    <n v="5.8944028342648505"/>
    <n v="6.9342404932222601E-2"/>
    <n v="350"/>
    <n v="6.0149845187563642"/>
    <n v="5.8607862234658654"/>
    <n v="1.0730603511378047"/>
    <n v="327147"/>
    <n v="5.1829756087773609"/>
    <n v="12.698167946875561"/>
    <n v="-0.24662858773988672"/>
    <n v="15000"/>
    <n v="6.1553602568167749"/>
    <n v="9.6158721445288897"/>
    <n v="-2.8993473795411946"/>
    <n v="4907.2"/>
    <n v="5.8862244869270297"/>
    <n v="8.4986625547968018"/>
    <n v="0.2942815488436315"/>
    <s v="Ada Lovelace inference"/>
  </r>
  <r>
    <x v="5"/>
    <x v="4"/>
    <x v="0"/>
    <d v="2023-08-08T00:00:00"/>
    <n v="48"/>
    <n v="4.4615286901096978"/>
    <n v="3.8918202981106265"/>
    <n v="-0.12349734745152156"/>
    <x v="3"/>
    <n v="3.0570434318989745"/>
    <n v="5.8944028342648505"/>
    <n v="6.2288526180767113E-2"/>
    <n v="350"/>
    <n v="6.0149845187563642"/>
    <n v="5.8607862234658654"/>
    <n v="1.0730603511378047"/>
    <n v="359171"/>
    <n v="5.1829756087773609"/>
    <n v="12.791556661369617"/>
    <n v="-0.23930800132908547"/>
    <n v="15000"/>
    <n v="6.1553602568167749"/>
    <n v="9.6158721445288897"/>
    <n v="-2.8993473795411946"/>
    <n v="5387.6"/>
    <n v="5.8862244869270297"/>
    <n v="8.5920408899049594"/>
    <n v="0.2942815488436315"/>
    <s v="Ada Lovelace inference"/>
  </r>
  <r>
    <x v="6"/>
    <x v="4"/>
    <x v="0"/>
    <d v="2023-08-08T00:00:00"/>
    <n v="48"/>
    <n v="4.4615286901096978"/>
    <n v="3.8918202981106265"/>
    <n v="-0.12349734745152156"/>
    <x v="3"/>
    <n v="3.0570434318989745"/>
    <n v="5.8944028342648505"/>
    <n v="5.5155363897750276E-2"/>
    <n v="350"/>
    <n v="6.0149845187563642"/>
    <n v="5.8607862234658654"/>
    <n v="1.0730603511378047"/>
    <n v="120445"/>
    <n v="5.1829756087773609"/>
    <n v="11.698956798691261"/>
    <n v="-0.23413782825519644"/>
    <n v="15000"/>
    <n v="6.1553602568167749"/>
    <n v="9.6158721445288897"/>
    <n v="-2.8993473795411946"/>
    <n v="1806.7"/>
    <n v="5.8862244869270297"/>
    <n v="7.499810597980809"/>
    <n v="0.2942815488436315"/>
    <s v="Ada Lovelace inference"/>
  </r>
  <r>
    <x v="4"/>
    <x v="5"/>
    <x v="0"/>
    <d v="2024-10-30T00:00:00"/>
    <n v="192"/>
    <n v="4.4615286901096978"/>
    <n v="5.2626901889048856"/>
    <n v="-0.12349734745152156"/>
    <x v="4"/>
    <n v="3.0570434318989745"/>
    <n v="7.7191298409067324"/>
    <n v="4.7940858826631877E-2"/>
    <n v="1000"/>
    <n v="6.0149845187563642"/>
    <n v="6.9087547793152204"/>
    <n v="1.0730603511378047"/>
    <n v="5165"/>
    <n v="5.1829756087773609"/>
    <n v="8.5498539736557859"/>
    <n v="-0.21802471151042238"/>
    <n v="35000"/>
    <n v="6.1553602568167749"/>
    <n v="10.463131911491967"/>
    <n v="-2.8993473795411946"/>
    <n v="180.8"/>
    <n v="5.8862244869270297"/>
    <n v="5.2029071817433783"/>
    <n v="0.2942815488436315"/>
    <s v="Blackwell, GB200 dominant 2025"/>
  </r>
  <r>
    <x v="5"/>
    <x v="5"/>
    <x v="0"/>
    <d v="2024-10-30T00:00:00"/>
    <n v="192"/>
    <n v="4.4615286901096978"/>
    <n v="5.2626901889048856"/>
    <n v="-0.12349734745152156"/>
    <x v="4"/>
    <n v="3.0570434318989745"/>
    <n v="7.7191298409067324"/>
    <n v="6.0953381104341668E-2"/>
    <n v="1000"/>
    <n v="6.0149845187563642"/>
    <n v="6.9087547793152204"/>
    <n v="1.0730603511378047"/>
    <n v="126650"/>
    <n v="5.1829756087773609"/>
    <n v="11.74919055117441"/>
    <n v="-0.20842362182445973"/>
    <n v="35000"/>
    <n v="6.1553602568167749"/>
    <n v="10.463131911491967"/>
    <n v="-2.8993473795411946"/>
    <n v="4432.8"/>
    <n v="5.8862244869270297"/>
    <n v="8.397012283159853"/>
    <n v="0.2942815488436315"/>
    <s v="Blackwell, GB200 dominant 2025"/>
  </r>
  <r>
    <x v="6"/>
    <x v="5"/>
    <x v="0"/>
    <d v="2024-10-30T00:00:00"/>
    <n v="192"/>
    <n v="4.4615286901096978"/>
    <n v="5.2626901889048856"/>
    <n v="-0.12349734745152156"/>
    <x v="4"/>
    <n v="3.0570434318989745"/>
    <n v="7.7191298409067324"/>
    <n v="7.3399904921789869E-2"/>
    <n v="1000"/>
    <n v="6.0149845187563642"/>
    <n v="6.9087547793152204"/>
    <n v="1.0730603511378047"/>
    <n v="86084"/>
    <n v="5.1829756087773609"/>
    <n v="11.363090459210573"/>
    <n v="-0.19212376355909527"/>
    <n v="35000"/>
    <n v="6.1553602568167749"/>
    <n v="10.463131911491967"/>
    <n v="-2.8993473795411946"/>
    <n v="3012.9"/>
    <n v="5.8862244869270297"/>
    <n v="8.0109902001356907"/>
    <n v="0.2942815488436315"/>
    <s v="Blackwell, GB200 dominant 2025"/>
  </r>
  <r>
    <x v="4"/>
    <x v="6"/>
    <x v="0"/>
    <d v="2024-10-30T00:00:00"/>
    <n v="384"/>
    <n v="4.4615286901096978"/>
    <n v="5.9532433342877846"/>
    <n v="-0.12349734745152156"/>
    <x v="5"/>
    <n v="3.0570434318989745"/>
    <n v="8.5173931714189042"/>
    <n v="8.5137555850677657E-2"/>
    <n v="2700"/>
    <n v="6.0149845187563642"/>
    <n v="7.9013773537926157"/>
    <n v="1.0730603511378047"/>
    <n v="2564"/>
    <n v="5.1829756087773609"/>
    <n v="7.8497137576048699"/>
    <n v="-0.17343439813661127"/>
    <n v="65000"/>
    <n v="6.1553602568167749"/>
    <n v="11.082157933374816"/>
    <n v="-2.8993473795411946"/>
    <n v="166.7"/>
    <n v="5.8862244869270297"/>
    <n v="5.1221766688291632"/>
    <n v="0.2942815488436315"/>
    <s v="Blackwell superchip dual B200"/>
  </r>
  <r>
    <x v="5"/>
    <x v="6"/>
    <x v="0"/>
    <d v="2024-10-30T00:00:00"/>
    <n v="384"/>
    <n v="4.4615286901096978"/>
    <n v="5.9532433342877846"/>
    <n v="-0.12349734745152156"/>
    <x v="5"/>
    <n v="3.0570434318989745"/>
    <n v="8.5173931714189042"/>
    <n v="1.4741809139196536E-2"/>
    <n v="2700"/>
    <n v="6.0149845187563642"/>
    <n v="7.9013773537926157"/>
    <n v="1.0730603511378047"/>
    <n v="45968"/>
    <n v="5.1829756087773609"/>
    <n v="10.735722535246286"/>
    <n v="-0.16917451457046667"/>
    <n v="65000"/>
    <n v="6.1553602568167749"/>
    <n v="11.082157933374816"/>
    <n v="-2.8993473795411946"/>
    <n v="2987.9"/>
    <n v="5.8862244869270297"/>
    <n v="8.0026607057189203"/>
    <n v="0.2942815488436315"/>
    <s v="Blackwell superchip dual B200"/>
  </r>
  <r>
    <x v="6"/>
    <x v="6"/>
    <x v="0"/>
    <d v="2024-10-30T00:00:00"/>
    <n v="384"/>
    <n v="4.4615286901096978"/>
    <n v="5.9532433342877846"/>
    <n v="-0.12349734745152156"/>
    <x v="5"/>
    <n v="3.0570434318989745"/>
    <n v="8.5173931714189042"/>
    <n v="-8.0267681741642921E-2"/>
    <n v="2700"/>
    <n v="6.0149845187563642"/>
    <n v="7.9013773537926157"/>
    <n v="1.0730603511378047"/>
    <n v="40186"/>
    <n v="5.1829756087773609"/>
    <n v="10.601298839222951"/>
    <n v="-0.14830530208444126"/>
    <n v="65000"/>
    <n v="6.1553602568167749"/>
    <n v="11.082157933374816"/>
    <n v="-2.8993473795411946"/>
    <n v="2612.1"/>
    <n v="5.8862244869270297"/>
    <n v="7.8682925349758515"/>
    <n v="0.2942815488436315"/>
    <s v="Blackwell superchip dual B200"/>
  </r>
  <r>
    <x v="5"/>
    <x v="7"/>
    <x v="0"/>
    <d v="2025-12-15T00:00:00"/>
    <n v="288"/>
    <n v="4.4615286901096978"/>
    <n v="5.6664266881124323"/>
    <n v="-0.12349734745152156"/>
    <x v="6"/>
    <n v="3.0570434318989745"/>
    <n v="8.160803920954665"/>
    <n v="-0.20898646074919949"/>
    <n v="1400"/>
    <n v="6.0149845187563642"/>
    <n v="7.2449415463370066"/>
    <n v="1.0730603511378047"/>
    <n v="0"/>
    <n v="5.1829756087773609"/>
    <n v="0"/>
    <n v="-0.12700141800671794"/>
    <n v="40000"/>
    <n v="6.1553602568167749"/>
    <n v="10.596659732783579"/>
    <n v="-2.8993473795411946"/>
    <n v="0"/>
    <n v="5.8862244869270297"/>
    <n v="0"/>
    <n v="0.2942815488436315"/>
    <s v="Blackwell Ultra"/>
  </r>
  <r>
    <x v="6"/>
    <x v="7"/>
    <x v="0"/>
    <d v="2025-12-15T00:00:00"/>
    <n v="288"/>
    <n v="4.4615286901096978"/>
    <n v="5.6664266881124323"/>
    <n v="-0.12349734745152156"/>
    <x v="6"/>
    <n v="3.0570434318989745"/>
    <n v="8.160803920954665"/>
    <n v="-0.2963292301237902"/>
    <n v="1400"/>
    <n v="6.0149845187563642"/>
    <n v="7.2449415463370066"/>
    <n v="1.0730603511378047"/>
    <n v="888"/>
    <n v="5.1829756087773609"/>
    <n v="6.7900972355139046"/>
    <n v="-8.968337733129074E-2"/>
    <n v="40000"/>
    <n v="6.1553602568167749"/>
    <n v="10.596659732783579"/>
    <n v="-2.8993473795411946"/>
    <n v="35.5"/>
    <n v="5.8862244869270297"/>
    <n v="3.597312260588446"/>
    <n v="0.2942815488436315"/>
    <s v="Blackwell Ultra"/>
  </r>
  <r>
    <x v="1"/>
    <x v="8"/>
    <x v="1"/>
    <d v="2021-11-08T00:00:00"/>
    <n v="128"/>
    <n v="4.4615286901096978"/>
    <n v="4.8598124043616719"/>
    <n v="-0.12349734745152156"/>
    <x v="7"/>
    <n v="3.0570434318989745"/>
    <n v="5.9506425525877269"/>
    <n v="-0.41068843165096264"/>
    <n v="500"/>
    <n v="6.0149845187563642"/>
    <n v="6.2166061010848646"/>
    <n v="1.0730603511378047"/>
    <n v="23"/>
    <n v="5.1829756087773609"/>
    <n v="3.1780538303479458"/>
    <n v="-9.6621717992026943E-2"/>
    <n v="15000"/>
    <n v="6.1553602568167749"/>
    <n v="9.6158721445288897"/>
    <n v="-2.8993473795411946"/>
    <n v="0.3"/>
    <n v="5.8862244869270297"/>
    <n v="0.26236426446749106"/>
    <n v="0.2942815488436315"/>
    <s v="CDNA2, used in Frontier supercomputer"/>
  </r>
  <r>
    <x v="2"/>
    <x v="8"/>
    <x v="1"/>
    <d v="2021-11-08T00:00:00"/>
    <n v="128"/>
    <n v="4.4615286901096978"/>
    <n v="4.8598124043616719"/>
    <n v="-0.12349734745152156"/>
    <x v="7"/>
    <n v="3.0570434318989745"/>
    <n v="5.9506425525877269"/>
    <n v="-0.4082345291190359"/>
    <n v="500"/>
    <n v="6.0149845187563642"/>
    <n v="6.2166061010848646"/>
    <n v="1.0730603511378047"/>
    <n v="1030"/>
    <n v="5.1829756087773609"/>
    <n v="6.9382844840169602"/>
    <n v="-0.11938481034841418"/>
    <n v="15000"/>
    <n v="6.1553602568167749"/>
    <n v="9.6158721445288897"/>
    <n v="-2.8993473795411946"/>
    <n v="15.4"/>
    <n v="5.8862244869270297"/>
    <n v="2.7972813348301528"/>
    <n v="0.2942815488436315"/>
    <s v="CDNA2, used in Frontier supercomputer"/>
  </r>
  <r>
    <x v="3"/>
    <x v="8"/>
    <x v="1"/>
    <d v="2021-11-08T00:00:00"/>
    <n v="128"/>
    <n v="4.4615286901096978"/>
    <n v="4.8598124043616719"/>
    <n v="-0.12349734745152156"/>
    <x v="7"/>
    <n v="3.0570434318989745"/>
    <n v="5.9506425525877269"/>
    <n v="-0.40576577855826296"/>
    <n v="500"/>
    <n v="6.0149845187563642"/>
    <n v="6.2166061010848646"/>
    <n v="1.0730603511378047"/>
    <n v="713"/>
    <n v="5.1829756087773609"/>
    <n v="6.5708829623395841"/>
    <n v="-0.12540262880384595"/>
    <n v="15000"/>
    <n v="6.1553602568167749"/>
    <n v="9.6158721445288897"/>
    <n v="-2.8993473795411946"/>
    <n v="10.7"/>
    <n v="5.8862244869270297"/>
    <n v="2.4595888418037104"/>
    <n v="0.2942815488436315"/>
    <s v="CDNA2, used in Frontier supercomputer"/>
  </r>
  <r>
    <x v="4"/>
    <x v="8"/>
    <x v="1"/>
    <d v="2021-11-08T00:00:00"/>
    <n v="128"/>
    <n v="4.4615286901096978"/>
    <n v="4.8598124043616719"/>
    <n v="-0.12349734745152156"/>
    <x v="7"/>
    <n v="3.0570434318989745"/>
    <n v="5.9506425525877269"/>
    <n v="-0.40328190699055422"/>
    <n v="500"/>
    <n v="6.0149845187563642"/>
    <n v="6.2166061010848646"/>
    <n v="1.0730603511378047"/>
    <n v="354"/>
    <n v="5.1829756087773609"/>
    <n v="5.872117789475416"/>
    <n v="-0.1353067862774027"/>
    <n v="15000"/>
    <n v="6.1553602568167749"/>
    <n v="9.6158721445288897"/>
    <n v="-2.8993473795411946"/>
    <n v="5.3"/>
    <n v="5.8862244869270297"/>
    <n v="1.8405496333974869"/>
    <n v="0.2942815488436315"/>
    <s v="CDNA2, used in Frontier supercomputer"/>
  </r>
  <r>
    <x v="5"/>
    <x v="8"/>
    <x v="1"/>
    <d v="2021-11-08T00:00:00"/>
    <n v="128"/>
    <n v="4.4615286901096978"/>
    <n v="4.8598124043616719"/>
    <n v="-0.12349734745152156"/>
    <x v="7"/>
    <n v="3.0570434318989745"/>
    <n v="5.9506425525877269"/>
    <n v="-0.40078263296511518"/>
    <n v="500"/>
    <n v="6.0149845187563642"/>
    <n v="6.2166061010848646"/>
    <n v="1.0730603511378047"/>
    <n v="122"/>
    <n v="5.1829756087773609"/>
    <n v="4.8121843553724171"/>
    <n v="-0.15205223105051752"/>
    <n v="15000"/>
    <n v="6.1553602568167749"/>
    <n v="9.6158721445288897"/>
    <n v="-2.8993473795411946"/>
    <n v="1.8"/>
    <n v="5.8862244869270297"/>
    <n v="1.0296194171811581"/>
    <n v="0.2942815488436315"/>
    <s v="CDNA2, used in Frontier supercomputer"/>
  </r>
  <r>
    <x v="6"/>
    <x v="8"/>
    <x v="1"/>
    <d v="2021-11-08T00:00:00"/>
    <n v="128"/>
    <n v="4.4615286901096978"/>
    <n v="4.8598124043616719"/>
    <n v="-0.12349734745152156"/>
    <x v="7"/>
    <n v="3.0570434318989745"/>
    <n v="5.9506425525877269"/>
    <n v="-0.39826766618544546"/>
    <n v="500"/>
    <n v="6.0149845187563642"/>
    <n v="6.2166061010848646"/>
    <n v="1.0730603511378047"/>
    <n v="159"/>
    <n v="5.1829756087773609"/>
    <n v="5.0751738152338266"/>
    <n v="-0.17667884544293253"/>
    <n v="15000"/>
    <n v="6.1553602568167749"/>
    <n v="9.6158721445288897"/>
    <n v="-2.8993473795411946"/>
    <n v="2.4"/>
    <n v="5.8862244869270297"/>
    <n v="1.2237754316221157"/>
    <n v="0.2942815488436315"/>
    <s v="CDNA2, used in Frontier supercomputer"/>
  </r>
  <r>
    <x v="3"/>
    <x v="9"/>
    <x v="1"/>
    <d v="2023-12-06T00:00:00"/>
    <n v="192"/>
    <n v="4.4615286901096978"/>
    <n v="5.2626901889048856"/>
    <n v="-0.12349734745152156"/>
    <x v="8"/>
    <n v="3.0570434318989745"/>
    <n v="7.1708884785125049"/>
    <n v="-0.39573670711497078"/>
    <n v="750"/>
    <n v="6.0149845187563642"/>
    <n v="6.6214056517641344"/>
    <n v="1.0730603511378047"/>
    <n v="0"/>
    <n v="5.1829756087773609"/>
    <n v="0"/>
    <n v="-0.20041064884099705"/>
    <n v="18000"/>
    <n v="6.1553602568167749"/>
    <n v="9.7981825908907041"/>
    <n v="-2.8993473795411946"/>
    <n v="0"/>
    <n v="5.8862244869270297"/>
    <n v="0"/>
    <n v="0.2942815488436315"/>
    <s v="CDNA3, primary H100 competitor"/>
  </r>
  <r>
    <x v="4"/>
    <x v="9"/>
    <x v="1"/>
    <d v="2023-12-06T00:00:00"/>
    <n v="192"/>
    <n v="4.4615286901096978"/>
    <n v="5.2626901889048856"/>
    <n v="-0.12349734745152156"/>
    <x v="8"/>
    <n v="3.0570434318989745"/>
    <n v="7.1708884785125049"/>
    <n v="-0.38556084664762047"/>
    <n v="750"/>
    <n v="6.0149845187563642"/>
    <n v="6.6214056517641344"/>
    <n v="1.0730603511378047"/>
    <n v="414143"/>
    <n v="5.1829756087773609"/>
    <n v="12.933969018416938"/>
    <n v="-0.15427260277175431"/>
    <n v="18000"/>
    <n v="6.1553602568167749"/>
    <n v="9.7981825908907041"/>
    <n v="-2.8993473795411946"/>
    <n v="7454.6"/>
    <n v="5.8862244869270297"/>
    <n v="8.9167207068576477"/>
    <n v="0.2942815488436315"/>
    <s v="CDNA3, primary H100 competitor"/>
  </r>
  <r>
    <x v="5"/>
    <x v="9"/>
    <x v="1"/>
    <d v="2023-12-06T00:00:00"/>
    <n v="192"/>
    <n v="4.4615286901096978"/>
    <n v="5.2626901889048856"/>
    <n v="-0.12349734745152156"/>
    <x v="8"/>
    <n v="3.0570434318989745"/>
    <n v="7.1708884785125049"/>
    <n v="-0.37616228644384608"/>
    <n v="750"/>
    <n v="6.0149845187563642"/>
    <n v="6.6214056517641344"/>
    <n v="1.0730603511378047"/>
    <n v="369849"/>
    <n v="5.1829756087773609"/>
    <n v="12.820852797016014"/>
    <n v="-0.14864572347808094"/>
    <n v="18000"/>
    <n v="6.1553602568167749"/>
    <n v="9.7981825908907041"/>
    <n v="-2.8993473795411946"/>
    <n v="6657.3"/>
    <n v="5.8862244869270297"/>
    <n v="8.8036194756960118"/>
    <n v="0.2942815488436315"/>
    <s v="CDNA3, primary H100 competitor"/>
  </r>
  <r>
    <x v="6"/>
    <x v="9"/>
    <x v="1"/>
    <d v="2023-12-06T00:00:00"/>
    <n v="192"/>
    <n v="4.4615286901096978"/>
    <n v="5.2626901889048856"/>
    <n v="-0.12349734745152156"/>
    <x v="8"/>
    <n v="3.0570434318989745"/>
    <n v="7.1708884785125049"/>
    <n v="-0.36769972442383708"/>
    <n v="750"/>
    <n v="6.0149845187563642"/>
    <n v="6.6214056517641344"/>
    <n v="1.0730603511378047"/>
    <n v="162122"/>
    <n v="5.1829756087773609"/>
    <n v="11.996110585382285"/>
    <n v="-0.14268742357070455"/>
    <n v="18000"/>
    <n v="6.1553602568167749"/>
    <n v="9.7981825908907041"/>
    <n v="-2.8993473795411946"/>
    <n v="2918.2"/>
    <n v="5.8862244869270297"/>
    <n v="7.9790648851222379"/>
    <n v="0.2942815488436315"/>
    <s v="CDNA3, primary H100 competitor"/>
  </r>
  <r>
    <x v="4"/>
    <x v="10"/>
    <x v="1"/>
    <d v="2024-10-10T00:00:00"/>
    <n v="256"/>
    <n v="4.4615286901096978"/>
    <n v="5.5490760848952201"/>
    <n v="-0.12349734745152156"/>
    <x v="8"/>
    <n v="3.0570434318989745"/>
    <n v="7.1708884785125049"/>
    <n v="-0.36036468878361405"/>
    <n v="1000"/>
    <n v="6.0149845187563642"/>
    <n v="6.9087547793152204"/>
    <n v="1.0730603511378047"/>
    <n v="2651"/>
    <n v="5.1829756087773609"/>
    <n v="7.8830693513057533"/>
    <n v="-0.12500764510026197"/>
    <n v="22000"/>
    <n v="6.1553602568167749"/>
    <n v="9.9988431858528806"/>
    <n v="-2.8993473795411946"/>
    <n v="58.3"/>
    <n v="5.8862244869270297"/>
    <n v="4.0826093060036799"/>
    <n v="0.2942815488436315"/>
    <s v="MI300X refresh"/>
  </r>
  <r>
    <x v="5"/>
    <x v="10"/>
    <x v="1"/>
    <d v="2024-10-10T00:00:00"/>
    <n v="256"/>
    <n v="4.4615286901096978"/>
    <n v="5.5490760848952201"/>
    <n v="-0.12349734745152156"/>
    <x v="8"/>
    <n v="3.0570434318989745"/>
    <n v="7.1708884785125049"/>
    <n v="-0.35438957347274463"/>
    <n v="1000"/>
    <n v="6.0149845187563642"/>
    <n v="6.9087547793152204"/>
    <n v="1.0730603511378047"/>
    <n v="52331"/>
    <n v="5.1829756087773609"/>
    <n v="10.865363317630766"/>
    <n v="-0.12061882189041896"/>
    <n v="22000"/>
    <n v="6.1553602568167749"/>
    <n v="9.9988431858528806"/>
    <n v="-2.8993473795411946"/>
    <n v="1151.3"/>
    <n v="5.8862244869270297"/>
    <n v="7.0495152240199683"/>
    <n v="0.2942815488436315"/>
    <s v="MI300X refresh"/>
  </r>
  <r>
    <x v="6"/>
    <x v="10"/>
    <x v="1"/>
    <d v="2024-10-10T00:00:00"/>
    <n v="256"/>
    <n v="4.4615286901096978"/>
    <n v="5.5490760848952201"/>
    <n v="-0.12349734745152156"/>
    <x v="8"/>
    <n v="3.0570434318989745"/>
    <n v="7.1708884785125049"/>
    <n v="-0.35005802488938631"/>
    <n v="1000"/>
    <n v="6.0149845187563642"/>
    <n v="6.9087547793152204"/>
    <n v="1.0730603511378047"/>
    <n v="39454"/>
    <n v="5.1829756087773609"/>
    <n v="10.582916060955135"/>
    <n v="-9.505277637800931E-2"/>
    <n v="22000"/>
    <n v="6.1553602568167749"/>
    <n v="9.9988431858528806"/>
    <n v="-2.8993473795411946"/>
    <n v="868"/>
    <n v="5.8862244869270297"/>
    <n v="6.7673431252653922"/>
    <n v="0.2942815488436315"/>
    <s v="MI300X refresh"/>
  </r>
  <r>
    <x v="5"/>
    <x v="11"/>
    <x v="1"/>
    <d v="2025-06-01T00:00:00"/>
    <n v="288"/>
    <n v="4.4615286901096978"/>
    <n v="5.6664266881124323"/>
    <n v="-0.12349734745152156"/>
    <x v="9"/>
    <n v="3.0570434318989745"/>
    <n v="7.5234813125734972"/>
    <n v="-0.34771849620064227"/>
    <n v="1000"/>
    <n v="6.0149845187563642"/>
    <n v="6.9087547793152204"/>
    <n v="1.0730603511378047"/>
    <n v="138"/>
    <n v="5.1829756087773609"/>
    <n v="4.9344739331306915"/>
    <n v="-6.8751650819573587E-2"/>
    <n v="15000"/>
    <n v="6.1553602568167749"/>
    <n v="9.6158721445288897"/>
    <n v="-2.8993473795411946"/>
    <n v="2.1"/>
    <n v="5.8862244869270297"/>
    <n v="1.1314021114911006"/>
    <n v="0.2942815488436315"/>
    <s v="CDNA4 Blackwell competitor"/>
  </r>
  <r>
    <x v="6"/>
    <x v="11"/>
    <x v="1"/>
    <d v="2025-06-01T00:00:00"/>
    <n v="288"/>
    <n v="4.4615286901096978"/>
    <n v="5.6664266881124323"/>
    <n v="-0.12349734745152156"/>
    <x v="9"/>
    <n v="3.0570434318989745"/>
    <n v="7.5234813125734972"/>
    <n v="-0.39397186255245836"/>
    <n v="1000"/>
    <n v="6.0149845187563642"/>
    <n v="6.9087547793152204"/>
    <n v="1.0730603511378047"/>
    <n v="1393"/>
    <n v="5.1829756087773609"/>
    <n v="7.2399325913204695"/>
    <n v="-9.5140127128070309E-2"/>
    <n v="15000"/>
    <n v="6.1553602568167749"/>
    <n v="9.6158721445288897"/>
    <n v="-2.8993473795411946"/>
    <n v="20.9"/>
    <n v="5.8862244869270297"/>
    <n v="3.0864866368224551"/>
    <n v="0.2942815488436315"/>
    <s v="CDNA4 Blackwell competitor"/>
  </r>
  <r>
    <x v="0"/>
    <x v="12"/>
    <x v="2"/>
    <d v="2018-05-08T00:00:00"/>
    <n v="32"/>
    <n v="4.4615286901096978"/>
    <n v="3.4965075614664802"/>
    <n v="-0.12349734745152156"/>
    <x v="10"/>
    <n v="3.0570434318989745"/>
    <n v="4.8202815656050371"/>
    <n v="-0.45497870714856298"/>
    <n v="220"/>
    <n v="6.0149845187563642"/>
    <n v="5.3981627015177525"/>
    <n v="1.0730603511378047"/>
    <n v="747"/>
    <n v="5.1829756087773609"/>
    <n v="6.6174029779744776"/>
    <n v="-9.8235776393721538E-2"/>
    <n v="15000"/>
    <n v="6.1553602568167749"/>
    <n v="9.6158721445288897"/>
    <n v="-2.8993473795411946"/>
    <n v="11.2"/>
    <n v="5.8862244869270297"/>
    <n v="2.5014359517392109"/>
    <n v="0.2942815488436315"/>
    <s v="Internal-only TPU"/>
  </r>
  <r>
    <x v="1"/>
    <x v="12"/>
    <x v="2"/>
    <d v="2018-05-08T00:00:00"/>
    <n v="32"/>
    <n v="4.4615286901096978"/>
    <n v="3.4965075614664802"/>
    <n v="-0.12349734745152156"/>
    <x v="10"/>
    <n v="3.0570434318989745"/>
    <n v="4.8202815656050371"/>
    <n v="-0.49238858109220823"/>
    <n v="220"/>
    <n v="6.0149845187563642"/>
    <n v="5.3981627015177525"/>
    <n v="1.0730603511378047"/>
    <n v="361"/>
    <n v="5.1829756087773609"/>
    <n v="5.8916442118257715"/>
    <n v="-0.10924586428009141"/>
    <n v="15000"/>
    <n v="6.1553602568167749"/>
    <n v="9.6158721445288897"/>
    <n v="-2.8993473795411946"/>
    <n v="5.4"/>
    <n v="5.8862244869270297"/>
    <n v="1.8562979903656263"/>
    <n v="0.2942815488436315"/>
    <s v="Internal-only TPU"/>
  </r>
  <r>
    <x v="2"/>
    <x v="12"/>
    <x v="2"/>
    <d v="2018-05-08T00:00:00"/>
    <n v="32"/>
    <n v="4.4615286901096978"/>
    <n v="3.4965075614664802"/>
    <n v="-0.12349734745152156"/>
    <x v="10"/>
    <n v="3.0570434318989745"/>
    <n v="4.8202815656050371"/>
    <n v="-0.53134230452565101"/>
    <n v="220"/>
    <n v="6.0149845187563642"/>
    <n v="5.3981627015177525"/>
    <n v="1.0730603511378047"/>
    <n v="160"/>
    <n v="5.1829756087773609"/>
    <n v="5.0814043649844631"/>
    <n v="-0.12884833391367573"/>
    <n v="15000"/>
    <n v="6.1553602568167749"/>
    <n v="9.6158721445288897"/>
    <n v="-2.8993473795411946"/>
    <n v="2.4"/>
    <n v="5.8862244869270297"/>
    <n v="1.2237754316221157"/>
    <n v="0.2942815488436315"/>
    <s v="Internal-only TPU"/>
  </r>
  <r>
    <x v="3"/>
    <x v="12"/>
    <x v="2"/>
    <d v="2018-05-08T00:00:00"/>
    <n v="32"/>
    <n v="4.4615286901096978"/>
    <n v="3.4965075614664802"/>
    <n v="-0.12349734745152156"/>
    <x v="10"/>
    <n v="3.0570434318989745"/>
    <n v="4.8202815656050371"/>
    <n v="-0.57197563511569216"/>
    <n v="220"/>
    <n v="6.0149845187563642"/>
    <n v="5.3981627015177525"/>
    <n v="1.0730603511378047"/>
    <n v="155"/>
    <n v="5.1829756087773609"/>
    <n v="5.0498560072495371"/>
    <n v="-0.15629486911112339"/>
    <n v="15000"/>
    <n v="6.1553602568167749"/>
    <n v="9.6158721445288897"/>
    <n v="-2.8993473795411946"/>
    <n v="2.2999999999999998"/>
    <n v="5.8862244869270297"/>
    <n v="1.1939224684724346"/>
    <n v="0.2942815488436315"/>
    <s v="Internal-only TPU"/>
  </r>
  <r>
    <x v="4"/>
    <x v="12"/>
    <x v="2"/>
    <d v="2018-05-08T00:00:00"/>
    <n v="32"/>
    <n v="4.4615286901096978"/>
    <n v="3.4965075614664802"/>
    <n v="-0.12349734745152156"/>
    <x v="10"/>
    <n v="3.0570434318989745"/>
    <n v="4.8202815656050371"/>
    <n v="-0.6144422182067053"/>
    <n v="220"/>
    <n v="6.0149845187563642"/>
    <n v="5.3981627015177525"/>
    <n v="1.0730603511378047"/>
    <n v="121"/>
    <n v="5.1829756087773609"/>
    <n v="4.8040210447332568"/>
    <n v="-0.18474204066987318"/>
    <n v="15000"/>
    <n v="6.1553602568167749"/>
    <n v="9.6158721445288897"/>
    <n v="-2.8993473795411946"/>
    <n v="1.8"/>
    <n v="5.8862244869270297"/>
    <n v="1.0296194171811581"/>
    <n v="0.2942815488436315"/>
    <s v="Internal-only TPU"/>
  </r>
  <r>
    <x v="5"/>
    <x v="12"/>
    <x v="2"/>
    <d v="2018-05-08T00:00:00"/>
    <n v="32"/>
    <n v="4.4615286901096978"/>
    <n v="3.4965075614664802"/>
    <n v="-0.12349734745152156"/>
    <x v="10"/>
    <n v="3.0570434318989745"/>
    <n v="4.8202815656050371"/>
    <n v="-0.6589167613534167"/>
    <n v="220"/>
    <n v="6.0149845187563642"/>
    <n v="5.3981627015177525"/>
    <n v="1.0730603511378047"/>
    <n v="177"/>
    <n v="5.1829756087773609"/>
    <n v="5.181783550292085"/>
    <n v="-0.21571312103593021"/>
    <n v="15000"/>
    <n v="6.1553602568167749"/>
    <n v="9.6158721445288897"/>
    <n v="-2.8993473795411946"/>
    <n v="2.7"/>
    <n v="5.8862244869270297"/>
    <n v="1.3083328196501789"/>
    <n v="0.2942815488436315"/>
    <s v="Internal-only TPU"/>
  </r>
  <r>
    <x v="6"/>
    <x v="12"/>
    <x v="2"/>
    <d v="2018-05-08T00:00:00"/>
    <n v="32"/>
    <n v="4.4615286901096978"/>
    <n v="3.4965075614664802"/>
    <n v="-0.12349734745152156"/>
    <x v="10"/>
    <n v="3.0570434318989745"/>
    <n v="4.8202815656050371"/>
    <n v="-0.70559892662273216"/>
    <n v="220"/>
    <n v="6.0149845187563642"/>
    <n v="5.3981627015177525"/>
    <n v="1.0730603511378047"/>
    <n v="147"/>
    <n v="5.1829756087773609"/>
    <n v="4.9972122737641147"/>
    <n v="-0.24484821057188966"/>
    <n v="15000"/>
    <n v="6.1553602568167749"/>
    <n v="9.6158721445288897"/>
    <n v="-2.8993473795411946"/>
    <n v="2.2000000000000002"/>
    <n v="5.8862244869270297"/>
    <n v="1.1631508098056809"/>
    <n v="0.2942815488436315"/>
    <s v="Internal-only TPU"/>
  </r>
  <r>
    <x v="1"/>
    <x v="13"/>
    <x v="2"/>
    <d v="2021-05-18T00:00:00"/>
    <n v="32"/>
    <n v="4.4615286901096978"/>
    <n v="3.4965075614664802"/>
    <n v="-0.12349734745152156"/>
    <x v="11"/>
    <n v="3.0570434318989745"/>
    <n v="5.6204008657171496"/>
    <n v="-0.7547181403975749"/>
    <n v="170"/>
    <n v="6.0149845187563642"/>
    <n v="5.1416635565026603"/>
    <n v="1.0730603511378047"/>
    <n v="148"/>
    <n v="5.1829756087773609"/>
    <n v="5.0039463059454592"/>
    <n v="-0.27638313263206082"/>
    <n v="15000"/>
    <n v="6.1553602568167749"/>
    <n v="9.6158721445288897"/>
    <n v="-2.8993473795411946"/>
    <n v="2.2000000000000002"/>
    <n v="5.8862244869270297"/>
    <n v="1.1631508098056809"/>
    <n v="0.2942815488436315"/>
    <s v="TPU v4 pod 4096 chips"/>
  </r>
  <r>
    <x v="2"/>
    <x v="13"/>
    <x v="2"/>
    <d v="2021-05-18T00:00:00"/>
    <n v="32"/>
    <n v="4.4615286901096978"/>
    <n v="3.4965075614664802"/>
    <n v="-0.12349734745152156"/>
    <x v="11"/>
    <n v="3.0570434318989745"/>
    <n v="5.6204008657171496"/>
    <n v="-0.76566414890877998"/>
    <n v="170"/>
    <n v="6.0149845187563642"/>
    <n v="5.1416635565026603"/>
    <n v="1.0730603511378047"/>
    <n v="1195"/>
    <n v="5.1829756087773609"/>
    <n v="7.0867379345105768"/>
    <n v="-0.3088934569344981"/>
    <n v="15000"/>
    <n v="6.1553602568167749"/>
    <n v="9.6158721445288897"/>
    <n v="-2.8993473795411946"/>
    <n v="17.899999999999999"/>
    <n v="5.8862244869270297"/>
    <n v="2.9391619220655967"/>
    <n v="0.2942815488436315"/>
    <s v="TPU v4 pod 4096 chips"/>
  </r>
  <r>
    <x v="3"/>
    <x v="13"/>
    <x v="2"/>
    <d v="2021-05-18T00:00:00"/>
    <n v="32"/>
    <n v="4.4615286901096978"/>
    <n v="3.4965075614664802"/>
    <n v="-0.12349734745152156"/>
    <x v="11"/>
    <n v="3.0570434318989745"/>
    <n v="5.6204008657171496"/>
    <n v="-0.77688976685189859"/>
    <n v="170"/>
    <n v="6.0149845187563642"/>
    <n v="5.1416635565026603"/>
    <n v="1.0730603511378047"/>
    <n v="878"/>
    <n v="5.1829756087773609"/>
    <n v="6.7787848976851768"/>
    <n v="-0.31697969784741875"/>
    <n v="15000"/>
    <n v="6.1553602568167749"/>
    <n v="9.6158721445288897"/>
    <n v="-2.8993473795411946"/>
    <n v="13.2"/>
    <n v="5.8862244869270297"/>
    <n v="2.653241964607215"/>
    <n v="0.2942815488436315"/>
    <s v="TPU v4 pod 4096 chips"/>
  </r>
  <r>
    <x v="4"/>
    <x v="13"/>
    <x v="2"/>
    <d v="2021-05-18T00:00:00"/>
    <n v="32"/>
    <n v="4.4615286901096978"/>
    <n v="3.4965075614664802"/>
    <n v="-0.12349734745152156"/>
    <x v="11"/>
    <n v="3.0570434318989745"/>
    <n v="5.6204008657171496"/>
    <n v="-0.78840820652447929"/>
    <n v="170"/>
    <n v="6.0149845187563642"/>
    <n v="5.1416635565026603"/>
    <n v="1.0730603511378047"/>
    <n v="330"/>
    <n v="5.1829756087773609"/>
    <n v="5.8021183753770629"/>
    <n v="-0.32968415752940516"/>
    <n v="15000"/>
    <n v="6.1553602568167749"/>
    <n v="9.6158721445288897"/>
    <n v="-2.8993473795411946"/>
    <n v="5"/>
    <n v="5.8862244869270297"/>
    <n v="1.791759469228055"/>
    <n v="0.2942815488436315"/>
    <s v="TPU v4 pod 4096 chips"/>
  </r>
  <r>
    <x v="5"/>
    <x v="13"/>
    <x v="2"/>
    <d v="2021-05-18T00:00:00"/>
    <n v="32"/>
    <n v="4.4615286901096978"/>
    <n v="3.4965075614664802"/>
    <n v="-0.12349734745152156"/>
    <x v="11"/>
    <n v="3.0570434318989745"/>
    <n v="5.6204008657171496"/>
    <n v="-0.80023357704622755"/>
    <n v="170"/>
    <n v="6.0149845187563642"/>
    <n v="5.1416635565026603"/>
    <n v="1.0730603511378047"/>
    <n v="195"/>
    <n v="5.1829756087773609"/>
    <n v="5.2781146592305168"/>
    <n v="-0.35593899411066371"/>
    <n v="15000"/>
    <n v="6.1553602568167749"/>
    <n v="9.6158721445288897"/>
    <n v="-2.8993473795411946"/>
    <n v="2.9"/>
    <n v="5.8862244869270297"/>
    <n v="1.3609765531356006"/>
    <n v="0.2942815488436315"/>
    <s v="TPU v4 pod 4096 chips"/>
  </r>
  <r>
    <x v="6"/>
    <x v="13"/>
    <x v="2"/>
    <d v="2021-05-18T00:00:00"/>
    <n v="32"/>
    <n v="4.4615286901096978"/>
    <n v="3.4965075614664802"/>
    <n v="-0.12349734745152156"/>
    <x v="11"/>
    <n v="3.0570434318989745"/>
    <n v="5.6204008657171496"/>
    <n v="-0.81238096400634974"/>
    <n v="170"/>
    <n v="6.0149845187563642"/>
    <n v="5.1416635565026603"/>
    <n v="1.0730603511378047"/>
    <n v="165"/>
    <n v="5.1829756087773609"/>
    <n v="5.1119877883565437"/>
    <n v="-0.3890393628345748"/>
    <n v="15000"/>
    <n v="6.1553602568167749"/>
    <n v="9.6158721445288897"/>
    <n v="-2.8993473795411946"/>
    <n v="2.5"/>
    <n v="5.8862244869270297"/>
    <n v="1.2527629684953681"/>
    <n v="0.2942815488436315"/>
    <s v="TPU v4 pod 4096 chips"/>
  </r>
  <r>
    <x v="3"/>
    <x v="14"/>
    <x v="2"/>
    <d v="2023-08-29T00:00:00"/>
    <n v="16"/>
    <n v="4.4615286901096978"/>
    <n v="2.8332133440562162"/>
    <n v="-0.12349734745152156"/>
    <x v="12"/>
    <n v="3.0570434318989745"/>
    <n v="5.2882670306945352"/>
    <n v="-0.82486651789575605"/>
    <n v="170"/>
    <n v="6.0149845187563642"/>
    <n v="5.1416635565026603"/>
    <n v="1.0730603511378047"/>
    <n v="59908"/>
    <n v="5.1829756087773609"/>
    <n v="11.00058202323444"/>
    <n v="-0.42502894068678959"/>
    <n v="15000"/>
    <n v="6.1553602568167749"/>
    <n v="9.6158721445288897"/>
    <n v="-2.8993473795411946"/>
    <n v="898.6"/>
    <n v="5.8862244869270297"/>
    <n v="6.8019502200851605"/>
    <n v="0.2942815488436315"/>
    <s v="Cost-efficient TPU"/>
  </r>
  <r>
    <x v="4"/>
    <x v="14"/>
    <x v="2"/>
    <d v="2023-08-29T00:00:00"/>
    <n v="16"/>
    <n v="4.4615286901096978"/>
    <n v="2.8332133440562162"/>
    <n v="-0.12349734745152156"/>
    <x v="12"/>
    <n v="3.0570434318989745"/>
    <n v="5.2882670306945352"/>
    <n v="-0.86073849590943396"/>
    <n v="170"/>
    <n v="6.0149845187563642"/>
    <n v="5.1416635565026603"/>
    <n v="1.0730603511378047"/>
    <n v="761631"/>
    <n v="5.1829756087773609"/>
    <n v="13.543218778383334"/>
    <n v="-0.39541418897148706"/>
    <n v="15000"/>
    <n v="6.1553602568167749"/>
    <n v="9.6158721445288897"/>
    <n v="-2.8993473795411946"/>
    <n v="11424.5"/>
    <n v="5.8862244869270297"/>
    <n v="9.343602978480952"/>
    <n v="0.2942815488436315"/>
    <s v="Cost-efficient TPU"/>
  </r>
  <r>
    <x v="5"/>
    <x v="14"/>
    <x v="2"/>
    <d v="2023-08-29T00:00:00"/>
    <n v="16"/>
    <n v="4.4615286901096978"/>
    <n v="2.8332133440562162"/>
    <n v="-0.12349734745152156"/>
    <x v="12"/>
    <n v="3.0570434318989745"/>
    <n v="5.2882670306945352"/>
    <n v="-0.89801527025375494"/>
    <n v="170"/>
    <n v="6.0149845187563642"/>
    <n v="5.1416635565026603"/>
    <n v="1.0730603511378047"/>
    <n v="491607"/>
    <n v="5.1829756087773609"/>
    <n v="13.105436929934609"/>
    <n v="-0.4086013422720533"/>
    <n v="15000"/>
    <n v="6.1553602568167749"/>
    <n v="9.6158721445288897"/>
    <n v="-2.8993473795411946"/>
    <n v="7374.1"/>
    <n v="5.8862244869270297"/>
    <n v="8.9058647404381279"/>
    <n v="0.2942815488436315"/>
    <s v="Cost-efficient TPU"/>
  </r>
  <r>
    <x v="6"/>
    <x v="14"/>
    <x v="2"/>
    <d v="2023-08-29T00:00:00"/>
    <n v="16"/>
    <n v="4.4615286901096978"/>
    <n v="2.8332133440562162"/>
    <n v="-0.12349734745152156"/>
    <x v="12"/>
    <n v="3.0570434318989745"/>
    <n v="5.2882670306945352"/>
    <n v="-0.93680536784073021"/>
    <n v="170"/>
    <n v="6.0149845187563642"/>
    <n v="5.1416635565026603"/>
    <n v="1.0730603511378047"/>
    <n v="238991"/>
    <n v="5.1829756087773609"/>
    <n v="12.384185357550074"/>
    <n v="-0.41362755776347931"/>
    <n v="15000"/>
    <n v="6.1553602568167749"/>
    <n v="9.6158721445288897"/>
    <n v="-2.8993473795411946"/>
    <n v="3584.9"/>
    <n v="5.8862244869270297"/>
    <n v="8.1847647675520445"/>
    <n v="0.2942815488436315"/>
    <s v="Cost-efficient TPU"/>
  </r>
  <r>
    <x v="3"/>
    <x v="15"/>
    <x v="2"/>
    <d v="2023-12-06T00:00:00"/>
    <n v="96"/>
    <n v="4.4615286901096978"/>
    <n v="4.5747109785033828"/>
    <n v="-0.12349734745152156"/>
    <x v="13"/>
    <n v="3.0570434318989745"/>
    <n v="6.131226489483141"/>
    <n v="-0.97722946962021573"/>
    <n v="170"/>
    <n v="6.0149845187563642"/>
    <n v="5.1416635565026603"/>
    <n v="1.0730603511378047"/>
    <n v="0"/>
    <n v="5.1829756087773609"/>
    <n v="0"/>
    <n v="-0.40260958958841941"/>
    <n v="0"/>
    <n v="6.1553602568167749"/>
    <n v="0"/>
    <n v="-2.8993473795411946"/>
    <n v="0"/>
    <n v="5.8862244869270297"/>
    <n v="0"/>
    <n v="0.2942815488436315"/>
    <s v="Production TPU"/>
  </r>
  <r>
    <x v="4"/>
    <x v="15"/>
    <x v="2"/>
    <d v="2023-12-06T00:00:00"/>
    <n v="96"/>
    <n v="4.4615286901096978"/>
    <n v="4.5747109785033828"/>
    <n v="-0.12349734745152156"/>
    <x v="13"/>
    <n v="3.0570434318989745"/>
    <n v="6.131226489483141"/>
    <n v="-0.95897113392003741"/>
    <n v="170"/>
    <n v="6.0149845187563642"/>
    <n v="5.1416635565026603"/>
    <n v="1.0730603511378047"/>
    <n v="272799"/>
    <n v="5.1829756087773609"/>
    <n v="12.516494204951444"/>
    <n v="-0.35529209476690349"/>
    <n v="0"/>
    <n v="6.1553602568167749"/>
    <n v="0"/>
    <n v="-2.8993473795411946"/>
    <n v="0"/>
    <n v="5.8862244869270297"/>
    <n v="0"/>
    <n v="0.2942815488436315"/>
    <s v="Production TPU"/>
  </r>
  <r>
    <x v="5"/>
    <x v="15"/>
    <x v="2"/>
    <d v="2023-12-06T00:00:00"/>
    <n v="96"/>
    <n v="4.4615286901096978"/>
    <n v="4.5747109785033828"/>
    <n v="-0.12349734745152156"/>
    <x v="13"/>
    <n v="3.0570434318989745"/>
    <n v="6.131226489483141"/>
    <n v="-0.9404330556797218"/>
    <n v="170"/>
    <n v="6.0149845187563642"/>
    <n v="5.1416635565026603"/>
    <n v="1.0730603511378047"/>
    <n v="214821"/>
    <n v="5.1829756087773609"/>
    <n v="12.2775650572288"/>
    <n v="-0.34938793685477537"/>
    <n v="0"/>
    <n v="6.1553602568167749"/>
    <n v="0"/>
    <n v="-2.8993473795411946"/>
    <n v="0"/>
    <n v="5.8862244869270297"/>
    <n v="0"/>
    <n v="0.2942815488436315"/>
    <s v="Production TPU"/>
  </r>
  <r>
    <x v="6"/>
    <x v="15"/>
    <x v="2"/>
    <d v="2023-12-06T00:00:00"/>
    <n v="96"/>
    <n v="4.4615286901096978"/>
    <n v="4.5747109785033828"/>
    <n v="-0.12349734745152156"/>
    <x v="13"/>
    <n v="3.0570434318989745"/>
    <n v="6.131226489483141"/>
    <n v="-0.92160339228388899"/>
    <n v="170"/>
    <n v="6.0149845187563642"/>
    <n v="5.1416635565026603"/>
    <n v="1.0730603511378047"/>
    <n v="100220"/>
    <n v="5.1829756087773609"/>
    <n v="11.515133026512229"/>
    <n v="-0.34005792469268392"/>
    <n v="0"/>
    <n v="6.1553602568167749"/>
    <n v="0"/>
    <n v="-2.8993473795411946"/>
    <n v="0"/>
    <n v="5.8862244869270297"/>
    <n v="0"/>
    <n v="0.2942815488436315"/>
    <s v="Production TPU"/>
  </r>
  <r>
    <x v="4"/>
    <x v="16"/>
    <x v="2"/>
    <d v="2024-05-14T00:00:00"/>
    <n v="32"/>
    <n v="4.4615286901096978"/>
    <n v="3.4965075614664802"/>
    <n v="-0.12349734745152156"/>
    <x v="14"/>
    <n v="3.0570434318989745"/>
    <n v="6.831953565565855"/>
    <n v="-0.902469498350424"/>
    <n v="200"/>
    <n v="6.0149845187563642"/>
    <n v="5.3033049080590757"/>
    <n v="1.0730603511378047"/>
    <n v="46633"/>
    <n v="5.1829756087773609"/>
    <n v="10.750085167808939"/>
    <n v="-0.31510475850436503"/>
    <n v="0"/>
    <n v="6.1553602568167749"/>
    <n v="0"/>
    <n v="-2.8993473795411946"/>
    <n v="0"/>
    <n v="5.8862244869270297"/>
    <n v="0"/>
    <n v="0.2942815488436315"/>
    <s v="6th gen TPU"/>
  </r>
  <r>
    <x v="5"/>
    <x v="16"/>
    <x v="2"/>
    <d v="2024-05-14T00:00:00"/>
    <n v="32"/>
    <n v="4.4615286901096978"/>
    <n v="3.4965075614664802"/>
    <n v="-0.12349734745152156"/>
    <x v="14"/>
    <n v="3.0570434318989745"/>
    <n v="6.831953565565855"/>
    <n v="-0.87851395944031152"/>
    <n v="200"/>
    <n v="6.0149845187563642"/>
    <n v="5.3033049080590757"/>
    <n v="1.0730603511378047"/>
    <n v="305904"/>
    <n v="5.1829756087773609"/>
    <n v="12.631029875216267"/>
    <n v="-0.28073873669961613"/>
    <n v="0"/>
    <n v="6.1553602568167749"/>
    <n v="0"/>
    <n v="-2.8993473795411946"/>
    <n v="0"/>
    <n v="5.8862244869270297"/>
    <n v="0"/>
    <n v="0.2942815488436315"/>
    <s v="6th gen TPU"/>
  </r>
  <r>
    <x v="6"/>
    <x v="16"/>
    <x v="2"/>
    <d v="2024-05-14T00:00:00"/>
    <n v="32"/>
    <n v="4.4615286901096978"/>
    <n v="3.4965075614664802"/>
    <n v="-0.12349734745152156"/>
    <x v="14"/>
    <n v="3.0570434318989745"/>
    <n v="6.831953565565855"/>
    <n v="-0.85455949051763247"/>
    <n v="200"/>
    <n v="6.0149845187563642"/>
    <n v="5.3033049080590757"/>
    <n v="1.0730603511378047"/>
    <n v="237500"/>
    <n v="5.1829756087773609"/>
    <n v="12.377927112974284"/>
    <n v="-0.29194058069218942"/>
    <n v="0"/>
    <n v="6.1553602568167749"/>
    <n v="0"/>
    <n v="-2.8993473795411946"/>
    <n v="0"/>
    <n v="5.8862244869270297"/>
    <n v="0"/>
    <n v="0.2942815488436315"/>
    <s v="6th gen TPU"/>
  </r>
  <r>
    <x v="5"/>
    <x v="17"/>
    <x v="2"/>
    <d v="2025-12-01T00:00:00"/>
    <n v="64"/>
    <n v="4.4615286901096978"/>
    <n v="4.1743872698956368"/>
    <n v="-0.12349734745152156"/>
    <x v="15"/>
    <n v="3.0570434318989745"/>
    <n v="7.3138868316334618"/>
    <n v="-0.83068191120660129"/>
    <n v="300"/>
    <n v="6.0149845187563642"/>
    <n v="5.7071102647488754"/>
    <n v="1.0730603511378047"/>
    <n v="0"/>
    <n v="5.1829756087773609"/>
    <n v="0"/>
    <n v="-0.30155398891759777"/>
    <n v="15000"/>
    <n v="6.1553602568167749"/>
    <n v="9.6158721445288897"/>
    <n v="-2.8993473795411946"/>
    <n v="0"/>
    <n v="5.8862244869270297"/>
    <n v="0"/>
    <n v="0.2942815488436315"/>
    <s v="TPU v7 announcement"/>
  </r>
  <r>
    <x v="6"/>
    <x v="17"/>
    <x v="2"/>
    <d v="2025-12-01T00:00:00"/>
    <n v="64"/>
    <n v="4.4615286901096978"/>
    <n v="4.1743872698956368"/>
    <n v="-0.12349734745152156"/>
    <x v="15"/>
    <n v="3.0570434318989745"/>
    <n v="7.3138868316334618"/>
    <n v="-0.87170652770997448"/>
    <n v="300"/>
    <n v="6.0149845187563642"/>
    <n v="5.7071102647488754"/>
    <n v="1.0730603511378047"/>
    <n v="801"/>
    <n v="5.1829756087773609"/>
    <n v="6.6871086078665147"/>
    <n v="-0.19197847400162901"/>
    <n v="15000"/>
    <n v="6.1553602568167749"/>
    <n v="9.6158721445288897"/>
    <n v="-2.8993473795411946"/>
    <n v="12"/>
    <n v="5.8862244869270297"/>
    <n v="2.5649493574615367"/>
    <n v="0.2942815488436315"/>
    <s v="TPU v7 announcement"/>
  </r>
  <r>
    <x v="4"/>
    <x v="18"/>
    <x v="3"/>
    <d v="2024-12-03T00:00:00"/>
    <n v="96"/>
    <n v="4.4615286901096978"/>
    <n v="4.5747109785033828"/>
    <n v="-0.12349734745152156"/>
    <x v="16"/>
    <n v="3.0570434318989745"/>
    <n v="6.4785096422085688"/>
    <n v="-0.92930776650613656"/>
    <n v="500"/>
    <n v="6.0149845187563642"/>
    <n v="6.2166061010848646"/>
    <n v="1.0730603511378047"/>
    <n v="0"/>
    <n v="5.1829756087773609"/>
    <n v="0"/>
    <n v="-0.20631144576201579"/>
    <n v="15000"/>
    <n v="6.1553602568167749"/>
    <n v="9.6158721445288897"/>
    <n v="-2.8993473795411946"/>
    <n v="0"/>
    <n v="5.8862244869270297"/>
    <n v="0"/>
    <n v="0.2942815488436315"/>
    <s v="AWS custom training silicon"/>
  </r>
  <r>
    <x v="5"/>
    <x v="18"/>
    <x v="3"/>
    <d v="2024-12-03T00:00:00"/>
    <n v="96"/>
    <n v="4.4615286901096978"/>
    <n v="4.5747109785033828"/>
    <n v="-0.12349734745152156"/>
    <x v="16"/>
    <n v="3.0570434318989745"/>
    <n v="6.4785096422085688"/>
    <n v="-0.89516062015391884"/>
    <n v="500"/>
    <n v="6.0149845187563642"/>
    <n v="6.2166061010848646"/>
    <n v="1.0730603511378047"/>
    <n v="67686"/>
    <n v="5.1829756087773609"/>
    <n v="11.122649416827789"/>
    <n v="-3.9070986654937984E-3"/>
    <n v="15000"/>
    <n v="6.1553602568167749"/>
    <n v="9.6158721445288897"/>
    <n v="-2.8993473795411946"/>
    <n v="1015.3"/>
    <n v="5.8862244869270297"/>
    <n v="6.923923860143721"/>
    <n v="0.2942815488436315"/>
    <s v="AWS custom training silicon"/>
  </r>
  <r>
    <x v="6"/>
    <x v="18"/>
    <x v="3"/>
    <d v="2024-12-03T00:00:00"/>
    <n v="96"/>
    <n v="4.4615286901096978"/>
    <n v="4.5747109785033828"/>
    <n v="-0.12349734745152156"/>
    <x v="16"/>
    <n v="3.0570434318989745"/>
    <n v="6.4785096422085688"/>
    <n v="-0.86012217464174234"/>
    <n v="500"/>
    <n v="6.0149845187563642"/>
    <n v="6.2166061010848646"/>
    <n v="1.0730603511378047"/>
    <n v="82503"/>
    <n v="5.1829756087773609"/>
    <n v="11.320602055995906"/>
    <n v="3.6777306051186988E-2"/>
    <n v="15000"/>
    <n v="6.1553602568167749"/>
    <n v="9.6158721445288897"/>
    <n v="-2.8993473795411946"/>
    <n v="1237.5"/>
    <n v="5.8862244869270297"/>
    <n v="7.1216562489294146"/>
    <n v="0.2942815488436315"/>
    <s v="AWS custom training silicon"/>
  </r>
  <r>
    <x v="2"/>
    <x v="19"/>
    <x v="3"/>
    <d v="2022-12-15T00:00:00"/>
    <n v="32"/>
    <n v="4.4615286901096978"/>
    <n v="3.4965075614664802"/>
    <n v="-0.12349734745152156"/>
    <x v="17"/>
    <n v="3.0570434318989745"/>
    <n v="5.2522734280466299"/>
    <n v="-0.82413177292583029"/>
    <n v="175"/>
    <n v="6.0149845187563642"/>
    <n v="5.1704839950381514"/>
    <n v="1.0730603511378047"/>
    <n v="0"/>
    <n v="5.1829756087773609"/>
    <n v="0"/>
    <n v="7.4054256433604984E-2"/>
    <n v="15000"/>
    <n v="6.1553602568167749"/>
    <n v="9.6158721445288897"/>
    <n v="-2.8993473795411946"/>
    <n v="0"/>
    <n v="5.8862244869270297"/>
    <n v="0"/>
    <n v="0.2942815488436315"/>
    <s v="AWS custom inference"/>
  </r>
  <r>
    <x v="3"/>
    <x v="19"/>
    <x v="3"/>
    <d v="2022-12-15T00:00:00"/>
    <n v="32"/>
    <n v="4.4615286901096978"/>
    <n v="3.4965075614664802"/>
    <n v="-0.12349734745152156"/>
    <x v="17"/>
    <n v="3.0570434318989745"/>
    <n v="5.2522734280466299"/>
    <n v="-0.86380657157551299"/>
    <n v="175"/>
    <n v="6.0149845187563642"/>
    <n v="5.1704839950381514"/>
    <n v="1.0730603511378047"/>
    <n v="182522"/>
    <n v="5.1829756087773609"/>
    <n v="12.114631471461157"/>
    <n v="0.51619827086414138"/>
    <n v="15000"/>
    <n v="6.1553602568167749"/>
    <n v="9.6158721445288897"/>
    <n v="-2.8993473795411946"/>
    <n v="2737.8"/>
    <n v="5.8862244869270297"/>
    <n v="7.9152751472469083"/>
    <n v="0.2942815488436315"/>
    <s v="AWS custom inference"/>
  </r>
  <r>
    <x v="4"/>
    <x v="19"/>
    <x v="3"/>
    <d v="2022-12-15T00:00:00"/>
    <n v="32"/>
    <n v="4.4615286901096978"/>
    <n v="3.4965075614664802"/>
    <n v="-0.12349734745152156"/>
    <x v="17"/>
    <n v="3.0570434318989745"/>
    <n v="5.2522734280466299"/>
    <n v="-0.90539500769226477"/>
    <n v="175"/>
    <n v="6.0149845187563642"/>
    <n v="5.1704839950381514"/>
    <n v="1.0730603511378047"/>
    <n v="111438"/>
    <n v="5.1829756087773609"/>
    <n v="11.621232634974804"/>
    <n v="0.5565057511254724"/>
    <n v="15000"/>
    <n v="6.1553602568167749"/>
    <n v="9.6158721445288897"/>
    <n v="-2.8993473795411946"/>
    <n v="1671.6"/>
    <n v="5.8862244869270297"/>
    <n v="7.4221345809474251"/>
    <n v="0.2942815488436315"/>
    <s v="AWS custom inference"/>
  </r>
  <r>
    <x v="5"/>
    <x v="19"/>
    <x v="3"/>
    <d v="2022-12-15T00:00:00"/>
    <n v="32"/>
    <n v="4.4615286901096978"/>
    <n v="3.4965075614664802"/>
    <n v="-0.12349734745152156"/>
    <x v="17"/>
    <n v="3.0570434318989745"/>
    <n v="5.2522734280466299"/>
    <n v="-0.94907931217562214"/>
    <n v="175"/>
    <n v="6.0149845187563642"/>
    <n v="5.1704839950381514"/>
    <n v="1.0730603511378047"/>
    <n v="66238"/>
    <n v="5.1829756087773609"/>
    <n v="11.101024692326829"/>
    <n v="0.6137672453643741"/>
    <n v="15000"/>
    <n v="6.1553602568167749"/>
    <n v="9.6158721445288897"/>
    <n v="-2.8993473795411946"/>
    <n v="993.6"/>
    <n v="5.8862244869270297"/>
    <n v="6.9023406462806385"/>
    <n v="0.2942815488436315"/>
    <s v="AWS custom inference"/>
  </r>
  <r>
    <x v="6"/>
    <x v="19"/>
    <x v="3"/>
    <d v="2022-12-15T00:00:00"/>
    <n v="32"/>
    <n v="4.4615286901096978"/>
    <n v="3.4965075614664802"/>
    <n v="-0.12349734745152156"/>
    <x v="17"/>
    <n v="3.0570434318989745"/>
    <n v="5.2522734280466299"/>
    <n v="-0.99506705058514988"/>
    <n v="175"/>
    <n v="6.0149845187563642"/>
    <n v="5.1704839950381514"/>
    <n v="1.0730603511378047"/>
    <n v="21199"/>
    <n v="5.1829756087773609"/>
    <n v="9.9617564606601032"/>
    <n v="0.68767491250554447"/>
    <n v="15000"/>
    <n v="6.1553602568167749"/>
    <n v="9.6158721445288897"/>
    <n v="-2.8993473795411946"/>
    <n v="318"/>
    <n v="5.8862244869270297"/>
    <n v="5.7651911027848444"/>
    <n v="0.2942815488436315"/>
    <s v="AWS custom inference"/>
  </r>
  <r>
    <x v="4"/>
    <x v="20"/>
    <x v="4"/>
    <d v="2024-03-13T00:00:00"/>
    <n v="0"/>
    <n v="4.4615286901096978"/>
    <n v="0"/>
    <n v="-0.12349734745152156"/>
    <x v="18"/>
    <n v="3.0570434318989745"/>
    <n v="7.1316985104669115"/>
    <n v="-1.0435957953238382"/>
    <n v="23000"/>
    <n v="6.0149845187563642"/>
    <n v="10.043292972227004"/>
    <n v="1.0730603511378047"/>
    <n v="228"/>
    <n v="5.1829756087773609"/>
    <n v="5.43372200355424"/>
    <n v="0.76953747407661099"/>
    <n v="2500000"/>
    <n v="6.1553602568167749"/>
    <n v="14.731801689838349"/>
    <n v="-2.8993473795411946"/>
    <n v="570"/>
    <n v="5.8862244869270297"/>
    <n v="6.3473892096560105"/>
    <n v="0.2942815488436315"/>
    <s v="Wafer-scale 4 trillion transistors"/>
  </r>
  <r>
    <x v="5"/>
    <x v="20"/>
    <x v="4"/>
    <d v="2024-03-13T00:00:00"/>
    <n v="0"/>
    <n v="4.4615286901096978"/>
    <n v="0"/>
    <n v="-0.12349734745152156"/>
    <x v="18"/>
    <n v="3.0570434318989745"/>
    <n v="7.1316985104669115"/>
    <n v="-1.0715423331709009"/>
    <n v="23000"/>
    <n v="6.0149845187563642"/>
    <n v="10.043292972227004"/>
    <n v="1.0730603511378047"/>
    <n v="1116"/>
    <n v="5.1829756087773609"/>
    <n v="7.0184017990692009"/>
    <n v="0.7266865070371531"/>
    <n v="2500000"/>
    <n v="6.1553602568167749"/>
    <n v="14.731801689838349"/>
    <n v="-2.8993473795411946"/>
    <n v="2790"/>
    <n v="5.8862244869270297"/>
    <n v="7.9341552335363223"/>
    <n v="0.2942815488436315"/>
    <s v="Wafer-scale 4 trillion transistors"/>
  </r>
  <r>
    <x v="6"/>
    <x v="20"/>
    <x v="4"/>
    <d v="2024-03-13T00:00:00"/>
    <n v="0"/>
    <n v="4.4615286901096978"/>
    <n v="0"/>
    <n v="-0.12349734745152156"/>
    <x v="18"/>
    <n v="3.0570434318989745"/>
    <n v="7.1316985104669115"/>
    <n v="-1.1151050903494502"/>
    <n v="23000"/>
    <n v="6.0149845187563642"/>
    <n v="10.043292972227004"/>
    <n v="1.0730603511378047"/>
    <n v="746"/>
    <n v="5.1829756087773609"/>
    <n v="6.6160651851328174"/>
    <n v="0.70932149376817977"/>
    <n v="2500000"/>
    <n v="6.1553602568167749"/>
    <n v="14.731801689838349"/>
    <n v="-2.8993473795411946"/>
    <n v="1865"/>
    <n v="5.8862244869270297"/>
    <n v="7.5315523814072893"/>
    <n v="0.2942815488436315"/>
    <s v="Wafer-scale 4 trillion transistors"/>
  </r>
  <r>
    <x v="4"/>
    <x v="21"/>
    <x v="5"/>
    <d v="2024-02-19T00:00:00"/>
    <n v="230"/>
    <n v="4.4615286901096978"/>
    <n v="5.4424177105217932"/>
    <n v="-0.12349734745152156"/>
    <x v="19"/>
    <n v="3.0570434318989745"/>
    <n v="6.6214056517641344"/>
    <n v="-1.180467107902563"/>
    <n v="350"/>
    <n v="6.0149845187563642"/>
    <n v="5.8607862234658654"/>
    <n v="1.0730603511378047"/>
    <n v="8709"/>
    <n v="5.1829756087773609"/>
    <n v="9.0722270698465479"/>
    <n v="0.6789741575504239"/>
    <n v="15000"/>
    <n v="6.1553602568167749"/>
    <n v="9.6158721445288897"/>
    <n v="-2.8993473795411946"/>
    <n v="130.6"/>
    <n v="5.8862244869270297"/>
    <n v="4.8797670188912168"/>
    <n v="0.2942815488436315"/>
    <s v="Inference-optimized"/>
  </r>
  <r>
    <x v="5"/>
    <x v="21"/>
    <x v="5"/>
    <d v="2024-02-19T00:00:00"/>
    <n v="230"/>
    <n v="4.4615286901096978"/>
    <n v="5.4424177105217932"/>
    <n v="-0.12349734745152156"/>
    <x v="19"/>
    <n v="3.0570434318989745"/>
    <n v="6.6214056517641344"/>
    <n v="-1.1547934573206609"/>
    <n v="350"/>
    <n v="6.0149845187563642"/>
    <n v="5.8607862234658654"/>
    <n v="1.0730603511378047"/>
    <n v="25845"/>
    <n v="5.1829756087773609"/>
    <n v="10.159911129085136"/>
    <n v="0.74322712358902421"/>
    <n v="15000"/>
    <n v="6.1553602568167749"/>
    <n v="9.6158721445288897"/>
    <n v="-2.8993473795411946"/>
    <n v="387.7"/>
    <n v="5.8862244869270297"/>
    <n v="5.9628078378581773"/>
    <n v="0.2942815488436315"/>
    <s v="Inference-optimized"/>
  </r>
  <r>
    <x v="6"/>
    <x v="21"/>
    <x v="5"/>
    <d v="2024-02-19T00:00:00"/>
    <n v="230"/>
    <n v="4.4615286901096978"/>
    <n v="5.4424177105217932"/>
    <n v="-0.12349734745152156"/>
    <x v="19"/>
    <n v="3.0570434318989745"/>
    <n v="6.6214056517641344"/>
    <n v="-1.130717354796438"/>
    <n v="350"/>
    <n v="6.0149845187563642"/>
    <n v="5.8607862234658654"/>
    <n v="1.0730603511378047"/>
    <n v="25084"/>
    <n v="5.1829756087773609"/>
    <n v="10.130025336918353"/>
    <n v="0.84398509467704297"/>
    <n v="15000"/>
    <n v="6.1553602568167749"/>
    <n v="9.6158721445288897"/>
    <n v="-2.8993473795411946"/>
    <n v="376.3"/>
    <n v="5.8862244869270297"/>
    <n v="5.9330406269702651"/>
    <n v="0.2942815488436315"/>
    <s v="Inference-optimized"/>
  </r>
  <r>
    <x v="3"/>
    <x v="22"/>
    <x v="6"/>
    <d v="2023-09-19T00:00:00"/>
    <n v="1500"/>
    <n v="4.4615286901096978"/>
    <n v="7.3138868316334618"/>
    <n v="-0.12349734745152156"/>
    <x v="20"/>
    <n v="3.0570434318989745"/>
    <n v="6.2363695902037044"/>
    <n v="-1.1088872247581867"/>
    <n v="300"/>
    <n v="6.0149845187563642"/>
    <n v="5.7071102647488754"/>
    <n v="1.0730603511378047"/>
    <n v="258"/>
    <n v="5.1829756087773609"/>
    <n v="5.5568280616995374"/>
    <n v="0.95583469271406207"/>
    <n v="15000"/>
    <n v="6.1553602568167749"/>
    <n v="9.6158721445288897"/>
    <n v="-2.8993473795411946"/>
    <n v="3.9"/>
    <n v="5.8862244869270297"/>
    <n v="1.589235205116581"/>
    <n v="0.2942815488436315"/>
    <s v="Reconfigurable dataflow"/>
  </r>
  <r>
    <x v="4"/>
    <x v="22"/>
    <x v="6"/>
    <d v="2023-09-19T00:00:00"/>
    <n v="1500"/>
    <n v="4.4615286901096978"/>
    <n v="7.3138868316334618"/>
    <n v="-0.12349734745152156"/>
    <x v="20"/>
    <n v="3.0570434318989745"/>
    <n v="6.2363695902037044"/>
    <n v="-1.0593872749693949"/>
    <n v="300"/>
    <n v="6.0149845187563642"/>
    <n v="5.7071102647488754"/>
    <n v="1.0730603511378047"/>
    <n v="3312"/>
    <n v="5.1829756087773609"/>
    <n v="8.1056094022998959"/>
    <n v="0.90543748008481062"/>
    <n v="15000"/>
    <n v="6.1553602568167749"/>
    <n v="9.6158721445288897"/>
    <n v="-2.8993473795411946"/>
    <n v="49.7"/>
    <n v="5.8862244869270297"/>
    <n v="3.9259259105971376"/>
    <n v="0.2942815488436315"/>
    <s v="Reconfigurable dataflow"/>
  </r>
  <r>
    <x v="5"/>
    <x v="22"/>
    <x v="6"/>
    <d v="2023-09-19T00:00:00"/>
    <n v="1500"/>
    <n v="4.4615286901096978"/>
    <n v="7.3138868316334618"/>
    <n v="-0.12349734745152156"/>
    <x v="20"/>
    <n v="3.0570434318989745"/>
    <n v="6.2363695902037044"/>
    <n v="-1.0080465405534647"/>
    <n v="300"/>
    <n v="6.0149845187563642"/>
    <n v="5.7071102647488754"/>
    <n v="1.0730603511378047"/>
    <n v="3199"/>
    <n v="5.1829756087773609"/>
    <n v="8.0709060887878188"/>
    <n v="0.94201950668512091"/>
    <n v="15000"/>
    <n v="6.1553602568167749"/>
    <n v="9.6158721445288897"/>
    <n v="-2.8993473795411946"/>
    <n v="48"/>
    <n v="5.8862244869270297"/>
    <n v="3.8918202981106265"/>
    <n v="0.2942815488436315"/>
    <s v="Reconfigurable dataflow"/>
  </r>
  <r>
    <x v="6"/>
    <x v="22"/>
    <x v="6"/>
    <d v="2023-09-19T00:00:00"/>
    <n v="1500"/>
    <n v="4.4615286901096978"/>
    <n v="7.3138868316334618"/>
    <n v="-0.12349734745152156"/>
    <x v="20"/>
    <n v="3.0570434318989745"/>
    <n v="6.2363695902037044"/>
    <n v="-0.95467680606746907"/>
    <n v="300"/>
    <n v="6.0149845187563642"/>
    <n v="5.7071102647488754"/>
    <n v="1.0730603511378047"/>
    <n v="1070"/>
    <n v="5.1829756087773609"/>
    <n v="6.9763480704477487"/>
    <n v="0.9790009531682522"/>
    <n v="15000"/>
    <n v="6.1553602568167749"/>
    <n v="9.6158721445288897"/>
    <n v="-2.8993473795411946"/>
    <n v="16.100000000000001"/>
    <n v="5.8862244869270297"/>
    <n v="2.8390784635086144"/>
    <n v="0.2942815488436315"/>
    <s v="Reconfigurable dataflow"/>
  </r>
  <r>
    <x v="4"/>
    <x v="23"/>
    <x v="7"/>
    <d v="2024-08-26T00:00:00"/>
    <n v="32"/>
    <n v="4.4615286901096978"/>
    <n v="3.4965075614664802"/>
    <n v="-0.12349734745152156"/>
    <x v="21"/>
    <n v="3.0570434318989745"/>
    <n v="6.6147256002037604"/>
    <n v="-0.89905895793328183"/>
    <n v="300"/>
    <n v="6.0149845187563642"/>
    <n v="5.7071102647488754"/>
    <n v="1.0730603511378047"/>
    <n v="81"/>
    <n v="5.1829756087773609"/>
    <n v="4.4067192472642533"/>
    <n v="0.96182761163143882"/>
    <n v="15000"/>
    <n v="6.1553602568167749"/>
    <n v="9.6158721445288897"/>
    <n v="-2.8993473795411946"/>
    <n v="1.2"/>
    <n v="5.8862244869270297"/>
    <n v="0.78845736036427028"/>
    <n v="0.2942815488436315"/>
    <s v="RISC-V based"/>
  </r>
  <r>
    <x v="5"/>
    <x v="23"/>
    <x v="7"/>
    <d v="2024-08-26T00:00:00"/>
    <n v="32"/>
    <n v="4.4615286901096978"/>
    <n v="3.4965075614664802"/>
    <n v="-0.12349734745152156"/>
    <x v="21"/>
    <n v="3.0570434318989745"/>
    <n v="6.6147256002037604"/>
    <n v="-0.87348645968719785"/>
    <n v="300"/>
    <n v="6.0149845187563642"/>
    <n v="5.7071102647488754"/>
    <n v="1.0730603511378047"/>
    <n v="861"/>
    <n v="5.1829756087773609"/>
    <n v="6.7592552706636928"/>
    <n v="0.92933178002017269"/>
    <n v="15000"/>
    <n v="6.1553602568167749"/>
    <n v="9.6158721445288897"/>
    <n v="-2.8993473795411946"/>
    <n v="12.9"/>
    <n v="5.8862244869270297"/>
    <n v="2.631888840136646"/>
    <n v="0.2942815488436315"/>
    <s v="RISC-V based"/>
  </r>
  <r>
    <x v="6"/>
    <x v="23"/>
    <x v="7"/>
    <d v="2024-08-26T00:00:00"/>
    <n v="32"/>
    <n v="4.4615286901096978"/>
    <n v="3.4965075614664802"/>
    <n v="-0.12349734745152156"/>
    <x v="21"/>
    <n v="3.0570434318989745"/>
    <n v="6.6147256002037604"/>
    <n v="-0.85365260645071339"/>
    <n v="300"/>
    <n v="6.0149845187563642"/>
    <n v="5.7071102647488754"/>
    <n v="1.0730603511378047"/>
    <n v="883"/>
    <n v="5.1829756087773609"/>
    <n v="6.7844570626376433"/>
    <n v="0.89782508825826524"/>
    <n v="15000"/>
    <n v="6.1553602568167749"/>
    <n v="9.6158721445288897"/>
    <n v="-2.8993473795411946"/>
    <n v="13.2"/>
    <n v="5.8862244869270297"/>
    <n v="2.653241964607215"/>
    <n v="0.2942815488436315"/>
    <s v="RISC-V based"/>
  </r>
  <r>
    <x v="0"/>
    <x v="24"/>
    <x v="8"/>
    <d v="2019-08-23T00:00:00"/>
    <n v="32"/>
    <n v="4.4615286901096978"/>
    <n v="3.4965075614664802"/>
    <n v="-0.12349734745152156"/>
    <x v="22"/>
    <n v="3.0570434318989745"/>
    <n v="5.5490760848952201"/>
    <n v="-0.84274650319504785"/>
    <n v="310"/>
    <n v="6.0149845187563642"/>
    <n v="5.7397929121792339"/>
    <n v="1.0730603511378047"/>
    <n v="1077"/>
    <n v="5.1829756087773609"/>
    <n v="6.9828627514689421"/>
    <n v="0.86639938384907733"/>
    <n v="15000"/>
    <n v="6.1553602568167749"/>
    <n v="9.6158721445288897"/>
    <n v="-2.8993473795411946"/>
    <n v="16.2"/>
    <n v="5.8862244869270297"/>
    <n v="2.8449093838194073"/>
    <n v="0.2942815488436315"/>
    <s v="Initial Ascend, before sanctions"/>
  </r>
  <r>
    <x v="1"/>
    <x v="24"/>
    <x v="8"/>
    <d v="2019-08-23T00:00:00"/>
    <n v="32"/>
    <n v="4.4615286901096978"/>
    <n v="3.4965075614664802"/>
    <n v="-0.12349734745152156"/>
    <x v="22"/>
    <n v="3.0570434318989745"/>
    <n v="5.5490760848952201"/>
    <n v="-0.81494593405182825"/>
    <n v="310"/>
    <n v="6.0149845187563642"/>
    <n v="5.7397929121792339"/>
    <n v="1.0730603511378047"/>
    <n v="812"/>
    <n v="5.1829756087773609"/>
    <n v="6.7007311095478101"/>
    <n v="0.8430527681927541"/>
    <n v="15000"/>
    <n v="6.1553602568167749"/>
    <n v="9.6158721445288897"/>
    <n v="-2.8993473795411946"/>
    <n v="12.2"/>
    <n v="5.8862244869270297"/>
    <n v="2.5802168295923251"/>
    <n v="0.2942815488436315"/>
    <s v="Initial Ascend, before sanctions"/>
  </r>
  <r>
    <x v="2"/>
    <x v="24"/>
    <x v="8"/>
    <d v="2019-08-23T00:00:00"/>
    <n v="32"/>
    <n v="4.4615286901096978"/>
    <n v="3.4965075614664802"/>
    <n v="-0.12349734745152156"/>
    <x v="22"/>
    <n v="3.0570434318989745"/>
    <n v="5.5490760848952201"/>
    <n v="-0.78624986850120915"/>
    <n v="310"/>
    <n v="6.0149845187563642"/>
    <n v="5.7397929121792339"/>
    <n v="1.0730603511378047"/>
    <n v="337"/>
    <n v="5.1829756087773609"/>
    <n v="5.8230458954830189"/>
    <n v="0.80599083617500622"/>
    <n v="15000"/>
    <n v="6.1553602568167749"/>
    <n v="9.6158721445288897"/>
    <n v="-2.8993473795411946"/>
    <n v="5.0999999999999996"/>
    <n v="5.8862244869270297"/>
    <n v="1.8082887711792655"/>
    <n v="0.2942815488436315"/>
    <s v="Initial Ascend, before sanctions"/>
  </r>
  <r>
    <x v="3"/>
    <x v="24"/>
    <x v="8"/>
    <d v="2019-08-23T00:00:00"/>
    <n v="32"/>
    <n v="4.4615286901096978"/>
    <n v="3.4965075614664802"/>
    <n v="-0.12349734745152156"/>
    <x v="22"/>
    <n v="3.0570434318989745"/>
    <n v="5.5490760848952201"/>
    <n v="-0.75657160811773871"/>
    <n v="310"/>
    <n v="6.0149845187563642"/>
    <n v="5.7397929121792339"/>
    <n v="1.0730603511378047"/>
    <n v="168"/>
    <n v="5.1829756087773609"/>
    <n v="5.1298987149230735"/>
    <n v="0.73813230719559986"/>
    <n v="15000"/>
    <n v="6.1553602568167749"/>
    <n v="9.6158721445288897"/>
    <n v="-2.8993473795411946"/>
    <n v="2.5"/>
    <n v="5.8862244869270297"/>
    <n v="1.2527629684953681"/>
    <n v="0.2942815488436315"/>
    <s v="Initial Ascend, before sanctions"/>
  </r>
  <r>
    <x v="4"/>
    <x v="24"/>
    <x v="8"/>
    <d v="2019-08-23T00:00:00"/>
    <n v="32"/>
    <n v="4.4615286901096978"/>
    <n v="3.4965075614664802"/>
    <n v="-0.12349734745152156"/>
    <x v="22"/>
    <n v="3.0570434318989745"/>
    <n v="5.5490760848952201"/>
    <n v="-0.725810218320879"/>
    <n v="310"/>
    <n v="6.0149845187563642"/>
    <n v="5.7397929121792339"/>
    <n v="1.0730603511378047"/>
    <n v="124"/>
    <n v="5.1829756087773609"/>
    <n v="4.8283137373023015"/>
    <n v="0.66075271911408995"/>
    <n v="15000"/>
    <n v="6.1553602568167749"/>
    <n v="9.6158721445288897"/>
    <n v="-2.8993473795411946"/>
    <n v="1.9"/>
    <n v="5.8862244869270297"/>
    <n v="1.0647107369924282"/>
    <n v="0.2942815488436315"/>
    <s v="Initial Ascend, before sanctions"/>
  </r>
  <r>
    <x v="5"/>
    <x v="24"/>
    <x v="8"/>
    <d v="2019-08-23T00:00:00"/>
    <n v="32"/>
    <n v="4.4615286901096978"/>
    <n v="3.4965075614664802"/>
    <n v="-0.12349734745152156"/>
    <x v="22"/>
    <n v="3.0570434318989745"/>
    <n v="5.5490760848952201"/>
    <n v="-0.69384716154267612"/>
    <n v="310"/>
    <n v="6.0149845187563642"/>
    <n v="5.7397929121792339"/>
    <n v="1.0730603511378047"/>
    <n v="178"/>
    <n v="5.1829756087773609"/>
    <n v="5.1873858058407549"/>
    <n v="0.58273225420145336"/>
    <n v="15000"/>
    <n v="6.1553602568167749"/>
    <n v="9.6158721445288897"/>
    <n v="-2.8993473795411946"/>
    <n v="2.7"/>
    <n v="5.8862244869270297"/>
    <n v="1.3083328196501789"/>
    <n v="0.2942815488436315"/>
    <s v="Initial Ascend, before sanctions"/>
  </r>
  <r>
    <x v="6"/>
    <x v="24"/>
    <x v="8"/>
    <d v="2019-08-23T00:00:00"/>
    <n v="32"/>
    <n v="4.4615286901096978"/>
    <n v="3.4965075614664802"/>
    <n v="-0.12349734745152156"/>
    <x v="22"/>
    <n v="3.0570434318989745"/>
    <n v="5.5490760848952201"/>
    <n v="-0.66054186817429195"/>
    <n v="310"/>
    <n v="6.0149845187563642"/>
    <n v="5.7397929121792339"/>
    <n v="1.0730603511378047"/>
    <n v="230"/>
    <n v="5.1829756087773609"/>
    <n v="5.4424177105217932"/>
    <n v="0.49324127469038942"/>
    <n v="15000"/>
    <n v="6.1553602568167749"/>
    <n v="9.6158721445288897"/>
    <n v="-2.8993473795411946"/>
    <n v="3.5"/>
    <n v="5.8862244869270297"/>
    <n v="1.5040773967762742"/>
    <n v="0.2942815488436315"/>
    <s v="Initial Ascend, before sanctions"/>
  </r>
  <r>
    <x v="3"/>
    <x v="25"/>
    <x v="8"/>
    <d v="2023-08-29T00:00:00"/>
    <n v="64"/>
    <n v="4.4615286901096978"/>
    <n v="4.1743872698956368"/>
    <n v="-0.12349734745152156"/>
    <x v="23"/>
    <n v="3.0570434318989745"/>
    <n v="6.2402758451707694"/>
    <n v="-0.62572581718983089"/>
    <n v="392"/>
    <n v="6.0149845187563642"/>
    <n v="5.9738096118692612"/>
    <n v="1.0730603511378047"/>
    <n v="31695"/>
    <n v="5.1829756087773609"/>
    <n v="10.363945768938333"/>
    <n v="0.39532352297695095"/>
    <n v="15000"/>
    <n v="6.1553602568167749"/>
    <n v="9.6158721445288897"/>
    <n v="-2.8993473795411946"/>
    <n v="475.4"/>
    <n v="5.8862244869270297"/>
    <n v="6.1662578374811448"/>
    <n v="0.2942815488436315"/>
    <s v="Domestic-supply chain"/>
  </r>
  <r>
    <x v="4"/>
    <x v="25"/>
    <x v="8"/>
    <d v="2023-08-29T00:00:00"/>
    <n v="64"/>
    <n v="4.4615286901096978"/>
    <n v="4.1743872698956368"/>
    <n v="-0.12349734745152156"/>
    <x v="23"/>
    <n v="3.0570434318989745"/>
    <n v="6.2402758451707694"/>
    <n v="-0.52571364378354291"/>
    <n v="392"/>
    <n v="6.0149845187563642"/>
    <n v="5.9738096118692612"/>
    <n v="1.0730603511378047"/>
    <n v="327421"/>
    <n v="5.1829756087773609"/>
    <n v="12.699005137752025"/>
    <n v="0.54779066875463445"/>
    <n v="15000"/>
    <n v="6.1553602568167749"/>
    <n v="9.6158721445288897"/>
    <n v="-2.8993473795411946"/>
    <n v="4911.3"/>
    <n v="5.8862244869270297"/>
    <n v="8.4994975428805475"/>
    <n v="0.2942815488436315"/>
    <s v="Domestic-supply chain"/>
  </r>
  <r>
    <x v="5"/>
    <x v="25"/>
    <x v="8"/>
    <d v="2023-08-29T00:00:00"/>
    <n v="64"/>
    <n v="4.4615286901096978"/>
    <n v="4.1743872698956368"/>
    <n v="-0.12349734745152156"/>
    <x v="23"/>
    <n v="3.0570434318989745"/>
    <n v="6.2402758451707694"/>
    <n v="-0.41568867954253136"/>
    <n v="392"/>
    <n v="6.0149845187563642"/>
    <n v="5.9738096118692612"/>
    <n v="1.0730603511378047"/>
    <n v="222897"/>
    <n v="5.1829756087773609"/>
    <n v="12.314469546700238"/>
    <n v="0.62927115251551713"/>
    <n v="15000"/>
    <n v="6.1553602568167749"/>
    <n v="9.6158721445288897"/>
    <n v="-2.8993473795411946"/>
    <n v="3343.5"/>
    <n v="5.8862244869270297"/>
    <n v="8.1150724845584623"/>
    <n v="0.2942815488436315"/>
    <s v="Domestic-supply chain"/>
  </r>
  <r>
    <x v="6"/>
    <x v="25"/>
    <x v="8"/>
    <d v="2023-08-29T00:00:00"/>
    <n v="64"/>
    <n v="4.4615286901096978"/>
    <n v="4.1743872698956368"/>
    <n v="-0.12349734745152156"/>
    <x v="23"/>
    <n v="3.0570434318989745"/>
    <n v="6.2402758451707694"/>
    <n v="-0.29300791841910889"/>
    <n v="392"/>
    <n v="6.0149845187563642"/>
    <n v="5.9738096118692612"/>
    <n v="1.0730603511378047"/>
    <n v="91465"/>
    <n v="5.1829756087773609"/>
    <n v="11.423722597509459"/>
    <n v="0.65468418359250025"/>
    <n v="15000"/>
    <n v="6.1553602568167749"/>
    <n v="9.6158721445288897"/>
    <n v="-2.8993473795411946"/>
    <n v="1372"/>
    <n v="5.8862244869270297"/>
    <n v="7.224753405767971"/>
    <n v="0.2942815488436315"/>
    <s v="Domestic-supply chain"/>
  </r>
  <r>
    <x v="4"/>
    <x v="26"/>
    <x v="8"/>
    <d v="2024-09-15T00:00:00"/>
    <n v="64"/>
    <n v="4.4615286901096978"/>
    <n v="4.1743872698956368"/>
    <n v="-0.12349734745152156"/>
    <x v="24"/>
    <n v="3.0570434318989745"/>
    <n v="6.6858609470683596"/>
    <n v="-0.15387345305763073"/>
    <n v="450"/>
    <n v="6.0149845187563642"/>
    <n v="6.1114673395026786"/>
    <n v="1.0730603511378047"/>
    <n v="3425"/>
    <n v="5.1829756087773609"/>
    <n v="8.1391486788840659"/>
    <n v="0.68149884989605281"/>
    <n v="20000"/>
    <n v="6.1553602568167749"/>
    <n v="9.9035375512861705"/>
    <n v="-2.8993473795411946"/>
    <n v="68.5"/>
    <n v="5.8862244869270297"/>
    <n v="4.2413267525707461"/>
    <n v="0.2942815488436315"/>
    <s v="Latest Huawei, ~80% H100 performance"/>
  </r>
  <r>
    <x v="5"/>
    <x v="26"/>
    <x v="8"/>
    <d v="2024-09-15T00:00:00"/>
    <n v="64"/>
    <n v="4.4615286901096978"/>
    <n v="4.1743872698956368"/>
    <n v="-0.12349734745152156"/>
    <x v="24"/>
    <n v="3.0570434318989745"/>
    <n v="6.6858609470683596"/>
    <n v="-6.8282597798322298E-2"/>
    <n v="450"/>
    <n v="6.0149845187563642"/>
    <n v="6.1114673395026786"/>
    <n v="1.0730603511378047"/>
    <n v="42439"/>
    <n v="5.1829756087773609"/>
    <n v="10.655846592727919"/>
    <n v="0.87448687612423237"/>
    <n v="20000"/>
    <n v="6.1553602568167749"/>
    <n v="9.9035375512861705"/>
    <n v="-2.8993473795411946"/>
    <n v="848.8"/>
    <n v="5.8862244869270297"/>
    <n v="6.7450010276807113"/>
    <n v="0.2942815488436315"/>
    <s v="Latest Huawei, ~80% H100 performance"/>
  </r>
  <r>
    <x v="6"/>
    <x v="26"/>
    <x v="8"/>
    <d v="2024-09-15T00:00:00"/>
    <n v="64"/>
    <n v="4.4615286901096978"/>
    <n v="4.1743872698956368"/>
    <n v="-0.12349734745152156"/>
    <x v="24"/>
    <n v="3.0570434318989745"/>
    <n v="6.6858609470683596"/>
    <n v="-4.5736961233705922E-2"/>
    <n v="450"/>
    <n v="6.0149845187563642"/>
    <n v="6.1114673395026786"/>
    <n v="1.0730603511378047"/>
    <n v="32195"/>
    <n v="5.1829756087773609"/>
    <n v="10.379597500213624"/>
    <n v="0.93545745731268359"/>
    <n v="20000"/>
    <n v="6.1553602568167749"/>
    <n v="9.9035375512861705"/>
    <n v="-2.8993473795411946"/>
    <n v="643.9"/>
    <n v="5.8862244869270297"/>
    <n v="6.4690952660163319"/>
    <n v="0.2942815488436315"/>
    <s v="Latest Huawei, ~80% H100 performance"/>
  </r>
  <r>
    <x v="1"/>
    <x v="27"/>
    <x v="9"/>
    <d v="2021-11-15T00:00:00"/>
    <n v="16"/>
    <n v="4.4615286901096978"/>
    <n v="2.8332133440562162"/>
    <n v="-0.12349734745152156"/>
    <x v="22"/>
    <n v="3.0570434318989745"/>
    <n v="5.5490760848952201"/>
    <n v="-0.31062849802452491"/>
    <n v="250"/>
    <n v="6.0149845187563642"/>
    <n v="5.5254529391317835"/>
    <n v="1.0730603511378047"/>
    <n v="32"/>
    <n v="5.1829756087773609"/>
    <n v="3.4965075614664802"/>
    <n v="-0.64374964890282593"/>
    <n v="15000"/>
    <n v="6.1553602568167749"/>
    <n v="9.6158721445288897"/>
    <n v="-2.8993473795411946"/>
    <n v="0.5"/>
    <n v="5.8862244869270297"/>
    <n v="0.40546510810816438"/>
    <n v="0.2942815488436315"/>
    <s v="Chinese AI accelerator"/>
  </r>
  <r>
    <x v="2"/>
    <x v="27"/>
    <x v="9"/>
    <d v="2021-11-15T00:00:00"/>
    <n v="16"/>
    <n v="4.4615286901096978"/>
    <n v="2.8332133440562162"/>
    <n v="-0.12349734745152156"/>
    <x v="22"/>
    <n v="3.0570434318989745"/>
    <n v="5.5490760848952201"/>
    <n v="-0.1078381024001753"/>
    <n v="250"/>
    <n v="6.0149845187563642"/>
    <n v="5.5254529391317835"/>
    <n v="1.0730603511378047"/>
    <n v="1041"/>
    <n v="5.1829756087773609"/>
    <n v="6.9488972223133123"/>
    <n v="-0.73685180080498225"/>
    <n v="15000"/>
    <n v="6.1553602568167749"/>
    <n v="9.6158721445288897"/>
    <n v="-2.8993473795411946"/>
    <n v="15.6"/>
    <n v="5.8862244869270297"/>
    <n v="2.8094026953624978"/>
    <n v="0.2942815488436315"/>
    <s v="Chinese AI accelerator"/>
  </r>
  <r>
    <x v="3"/>
    <x v="27"/>
    <x v="9"/>
    <d v="2021-11-15T00:00:00"/>
    <n v="16"/>
    <n v="4.4615286901096978"/>
    <n v="2.8332133440562162"/>
    <n v="-0.12349734745152156"/>
    <x v="22"/>
    <n v="3.0570434318989745"/>
    <n v="5.5490760848952201"/>
    <n v="0.14687984616159769"/>
    <n v="250"/>
    <n v="6.0149845187563642"/>
    <n v="5.5254529391317835"/>
    <n v="1.0730603511378047"/>
    <n v="846"/>
    <n v="5.1829756087773609"/>
    <n v="6.7417006946520548"/>
    <n v="-0.58868569162805184"/>
    <n v="15000"/>
    <n v="6.1553602568167749"/>
    <n v="9.6158721445288897"/>
    <n v="-2.8993473795411946"/>
    <n v="12.7"/>
    <n v="5.8862244869270297"/>
    <n v="2.6173958328340792"/>
    <n v="0.2942815488436315"/>
    <s v="Chinese AI accelerator"/>
  </r>
  <r>
    <x v="4"/>
    <x v="27"/>
    <x v="9"/>
    <d v="2021-11-15T00:00:00"/>
    <n v="16"/>
    <n v="4.4615286901096978"/>
    <n v="2.8332133440562162"/>
    <n v="-0.12349734745152156"/>
    <x v="22"/>
    <n v="3.0570434318989745"/>
    <n v="5.5490760848952201"/>
    <n v="0.48990274167253473"/>
    <n v="250"/>
    <n v="6.0149845187563642"/>
    <n v="5.5254529391317835"/>
    <n v="1.0730603511378047"/>
    <n v="381"/>
    <n v="5.1829756087773609"/>
    <n v="5.9454206086065753"/>
    <n v="-0.36809621330883752"/>
    <n v="15000"/>
    <n v="6.1553602568167749"/>
    <n v="9.6158721445288897"/>
    <n v="-2.8993473795411946"/>
    <n v="5.7"/>
    <n v="5.8862244869270297"/>
    <n v="1.9021075263969205"/>
    <n v="0.2942815488436315"/>
    <s v="Chinese AI accelerator"/>
  </r>
  <r>
    <x v="5"/>
    <x v="27"/>
    <x v="9"/>
    <d v="2021-11-15T00:00:00"/>
    <n v="16"/>
    <n v="4.4615286901096978"/>
    <n v="2.8332133440562162"/>
    <n v="-0.12349734745152156"/>
    <x v="22"/>
    <n v="3.0570434318989745"/>
    <n v="5.5490760848952201"/>
    <n v="1.0078983215459574"/>
    <n v="250"/>
    <n v="6.0149845187563642"/>
    <n v="5.5254529391317835"/>
    <n v="1.0730603511378047"/>
    <n v="146"/>
    <n v="5.1829756087773609"/>
    <n v="4.990432586778736"/>
    <n v="-0.2296247980865854"/>
    <n v="15000"/>
    <n v="6.1553602568167749"/>
    <n v="9.6158721445288897"/>
    <n v="-2.8993473795411946"/>
    <n v="2.2000000000000002"/>
    <n v="5.8862244869270297"/>
    <n v="1.1631508098056809"/>
    <n v="0.2942815488436315"/>
    <s v="Chinese AI accelerator"/>
  </r>
  <r>
    <x v="6"/>
    <x v="27"/>
    <x v="9"/>
    <d v="2021-11-15T00:00:00"/>
    <n v="16"/>
    <n v="4.4615286901096978"/>
    <n v="2.8332133440562162"/>
    <n v="-0.12349734745152156"/>
    <x v="22"/>
    <n v="3.0570434318989745"/>
    <n v="5.5490760848952201"/>
    <n v="1.9850585601427704"/>
    <n v="250"/>
    <n v="6.0149845187563642"/>
    <n v="5.5254529391317835"/>
    <n v="1.0730603511378047"/>
    <n v="173"/>
    <n v="5.1829756087773609"/>
    <n v="5.1590552992145291"/>
    <n v="-0.60508155440429312"/>
    <n v="15000"/>
    <n v="6.1553602568167749"/>
    <n v="9.6158721445288897"/>
    <n v="-2.8993473795411946"/>
    <n v="2.6"/>
    <n v="5.8862244869270297"/>
    <n v="1.2809338454620642"/>
    <n v="0.2942815488436315"/>
    <s v="Chinese AI accelerator"/>
  </r>
  <r>
    <x v="4"/>
    <x v="28"/>
    <x v="10"/>
    <d v="2024-05-07T00:00:00"/>
    <n v="16"/>
    <n v="4.4615286901096978"/>
    <n v="2.8332133440562162"/>
    <n v="-0.12349734745152156"/>
    <x v="25"/>
    <n v="3.0570434318989745"/>
    <n v="3.6635616461296463"/>
    <n v="0.60858061945019326"/>
    <n v="23"/>
    <n v="6.0149845187563642"/>
    <n v="3.1780538303479458"/>
    <n v="1.0730603511378047"/>
    <n v="174"/>
    <n v="5.1829756087773609"/>
    <n v="5.1647859739235145"/>
    <n v="-1.0702766664043482"/>
    <n v="15000"/>
    <n v="6.1553602568167749"/>
    <n v="9.6158721445288897"/>
    <n v="-2.8993473795411946"/>
    <n v="2.6"/>
    <n v="5.8862244869270297"/>
    <n v="1.2809338454620642"/>
    <n v="0.2942815488436315"/>
    <s v="Consumer NPU 38 TOPS"/>
  </r>
  <r>
    <x v="5"/>
    <x v="28"/>
    <x v="10"/>
    <d v="2024-05-07T00:00:00"/>
    <n v="16"/>
    <n v="4.4615286901096978"/>
    <n v="2.8332133440562162"/>
    <n v="-0.12349734745152156"/>
    <x v="25"/>
    <n v="3.0570434318989745"/>
    <n v="3.6635616461296463"/>
    <n v="0"/>
    <n v="23"/>
    <n v="6.0149845187563642"/>
    <n v="3.1780538303479458"/>
    <n v="1.0730603511378047"/>
    <n v="1082"/>
    <n v="5.1829756087773609"/>
    <n v="6.9874902470009905"/>
    <n v="-1.9376101270496113"/>
    <n v="15000"/>
    <n v="6.1553602568167749"/>
    <n v="9.6158721445288897"/>
    <n v="-2.8993473795411946"/>
    <n v="16.2"/>
    <n v="5.8862244869270297"/>
    <n v="2.8449093838194073"/>
    <n v="0.2942815488436315"/>
    <s v="Consumer NPU 38 TOPS"/>
  </r>
  <r>
    <x v="6"/>
    <x v="28"/>
    <x v="10"/>
    <d v="2024-05-07T00:00:00"/>
    <n v="16"/>
    <n v="4.4615286901096978"/>
    <n v="2.8332133440562162"/>
    <n v="-0.12349734745152156"/>
    <x v="25"/>
    <n v="3.0570434318989745"/>
    <n v="3.6635616461296463"/>
    <n v="-1.7320508075688725"/>
    <n v="23"/>
    <n v="6.0149845187563642"/>
    <n v="3.1780538303479458"/>
    <n v="1.0730603511378047"/>
    <n v="776"/>
    <n v="5.1829756087773609"/>
    <n v="6.6554403503676474"/>
    <n v="-1.7307657718031382"/>
    <n v="15000"/>
    <n v="6.1553602568167749"/>
    <n v="9.6158721445288897"/>
    <n v="-2.8993473795411946"/>
    <n v="11.6"/>
    <n v="5.8862244869270297"/>
    <n v="2.5336968139574321"/>
    <n v="0.2942815488436315"/>
    <s v="Consumer NPU 38 TOPS"/>
  </r>
  <r>
    <x v="5"/>
    <x v="29"/>
    <x v="10"/>
    <d v="2025-10-30T00:00:00"/>
    <n v="16"/>
    <n v="4.4615286901096978"/>
    <n v="2.8332133440562162"/>
    <n v="-0.12349734745152156"/>
    <x v="26"/>
    <n v="3.0570434318989745"/>
    <n v="4.1108738641733114"/>
    <e v="#DIV/0!"/>
    <n v="28"/>
    <n v="6.0149845187563642"/>
    <n v="3.3672958299864741"/>
    <n v="1.0730603511378047"/>
    <n v="47"/>
    <n v="5.1829756087773609"/>
    <n v="3.8712010109078911"/>
    <e v="#DIV/0!"/>
    <n v="15000"/>
    <n v="6.1553602568167749"/>
    <n v="9.6158721445288897"/>
    <n v="-2.8993473795411946"/>
    <n v="0.7"/>
    <n v="5.8862244869270297"/>
    <n v="0.53062825106217038"/>
    <n v="0.2942815488436315"/>
    <s v="M5 NPU generation"/>
  </r>
  <r>
    <x v="6"/>
    <x v="29"/>
    <x v="10"/>
    <d v="2025-10-30T00:00:00"/>
    <n v="16"/>
    <n v="4.4615286901096978"/>
    <n v="2.8332133440562162"/>
    <n v="-0.12349734745152156"/>
    <x v="26"/>
    <n v="3.0570434318989745"/>
    <n v="4.1108738641733114"/>
    <e v="#DIV/0!"/>
    <n v="28"/>
    <n v="6.0149845187563642"/>
    <n v="3.3672958299864741"/>
    <n v="1.0730603511378047"/>
    <n v="809"/>
    <n v="5.1829756087773609"/>
    <n v="6.6970342476664841"/>
    <e v="#DIV/0!"/>
    <n v="15000"/>
    <n v="6.1553602568167749"/>
    <n v="9.6158721445288897"/>
    <n v="-2.8993473795411946"/>
    <n v="12.1"/>
    <n v="5.8862244869270297"/>
    <n v="2.5726122302071057"/>
    <n v="0.2942815488436315"/>
    <s v="M5 NPU generation"/>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E68C41CA-F293-47E7-8CEB-472A3FFCD9AC}"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Year">
  <location ref="A3:I18" firstHeaderRow="1" firstDataRow="2" firstDataCol="1"/>
  <pivotFields count="29">
    <pivotField axis="axisCol" showAll="0">
      <items count="8">
        <item x="0"/>
        <item x="1"/>
        <item x="2"/>
        <item x="3"/>
        <item x="4"/>
        <item x="5"/>
        <item x="6"/>
        <item t="default"/>
      </items>
    </pivotField>
    <pivotField axis="axisRow" showAll="0">
      <items count="31">
        <item x="8"/>
        <item x="9"/>
        <item x="10"/>
        <item x="11"/>
        <item x="28"/>
        <item h="1" x="29"/>
        <item h="1" x="19"/>
        <item h="1" x="18"/>
        <item h="1" x="27"/>
        <item h="1" x="20"/>
        <item h="1" x="12"/>
        <item h="1" x="13"/>
        <item h="1" x="14"/>
        <item h="1" x="15"/>
        <item h="1" x="16"/>
        <item h="1" x="17"/>
        <item h="1" x="21"/>
        <item h="1" x="24"/>
        <item h="1" x="25"/>
        <item h="1" x="26"/>
        <item x="1"/>
        <item x="5"/>
        <item x="7"/>
        <item x="6"/>
        <item x="2"/>
        <item x="3"/>
        <item x="4"/>
        <item x="0"/>
        <item h="1" x="22"/>
        <item h="1" x="2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20"/>
    </i>
    <i>
      <x v="21"/>
    </i>
    <i>
      <x v="22"/>
    </i>
    <i>
      <x v="23"/>
    </i>
    <i>
      <x v="24"/>
    </i>
    <i>
      <x v="25"/>
    </i>
    <i>
      <x v="26"/>
    </i>
    <i>
      <x v="27"/>
    </i>
    <i t="grand">
      <x/>
    </i>
  </rowItems>
  <colFields count="1">
    <field x="0"/>
  </colFields>
  <colItems count="8">
    <i>
      <x/>
    </i>
    <i>
      <x v="1"/>
    </i>
    <i>
      <x v="2"/>
    </i>
    <i>
      <x v="3"/>
    </i>
    <i>
      <x v="4"/>
    </i>
    <i>
      <x v="5"/>
    </i>
    <i>
      <x v="6"/>
    </i>
    <i t="grand">
      <x/>
    </i>
  </colItems>
  <dataFields count="1">
    <dataField name="Sum of estimated_shipments_units" fld="16" baseField="0" baseItem="0"/>
  </dataFields>
  <chartFormats count="7">
    <chartFormat chart="17" format="0" series="1">
      <pivotArea type="data" outline="0" fieldPosition="0">
        <references count="2">
          <reference field="4294967294" count="1" selected="0">
            <x v="0"/>
          </reference>
          <reference field="0" count="1" selected="0">
            <x v="0"/>
          </reference>
        </references>
      </pivotArea>
    </chartFormat>
    <chartFormat chart="17" format="1" series="1">
      <pivotArea type="data" outline="0" fieldPosition="0">
        <references count="2">
          <reference field="4294967294" count="1" selected="0">
            <x v="0"/>
          </reference>
          <reference field="0" count="1" selected="0">
            <x v="1"/>
          </reference>
        </references>
      </pivotArea>
    </chartFormat>
    <chartFormat chart="17" format="2" series="1">
      <pivotArea type="data" outline="0" fieldPosition="0">
        <references count="2">
          <reference field="4294967294" count="1" selected="0">
            <x v="0"/>
          </reference>
          <reference field="0" count="1" selected="0">
            <x v="2"/>
          </reference>
        </references>
      </pivotArea>
    </chartFormat>
    <chartFormat chart="17" format="3" series="1">
      <pivotArea type="data" outline="0" fieldPosition="0">
        <references count="2">
          <reference field="4294967294" count="1" selected="0">
            <x v="0"/>
          </reference>
          <reference field="0" count="1" selected="0">
            <x v="3"/>
          </reference>
        </references>
      </pivotArea>
    </chartFormat>
    <chartFormat chart="17" format="4" series="1">
      <pivotArea type="data" outline="0" fieldPosition="0">
        <references count="2">
          <reference field="4294967294" count="1" selected="0">
            <x v="0"/>
          </reference>
          <reference field="0" count="1" selected="0">
            <x v="4"/>
          </reference>
        </references>
      </pivotArea>
    </chartFormat>
    <chartFormat chart="17" format="5" series="1">
      <pivotArea type="data" outline="0" fieldPosition="0">
        <references count="2">
          <reference field="4294967294" count="1" selected="0">
            <x v="0"/>
          </reference>
          <reference field="0" count="1" selected="0">
            <x v="5"/>
          </reference>
        </references>
      </pivotArea>
    </chartFormat>
    <chartFormat chart="17" format="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1F56759E-C60B-4D4D-A9A0-5EF0B287442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ip name">
  <location ref="A3:C13" firstHeaderRow="0" firstDataRow="1" firstDataCol="1"/>
  <pivotFields count="29">
    <pivotField showAll="0"/>
    <pivotField axis="axisRow" showAll="0" sortType="descending">
      <items count="31">
        <item h="1" x="8"/>
        <item h="1" x="9"/>
        <item h="1" x="10"/>
        <item h="1" x="11"/>
        <item h="1" x="28"/>
        <item x="29"/>
        <item h="1" x="19"/>
        <item x="18"/>
        <item h="1" x="27"/>
        <item h="1" x="20"/>
        <item x="12"/>
        <item x="13"/>
        <item h="1" x="14"/>
        <item x="15"/>
        <item h="1" x="16"/>
        <item h="1" x="17"/>
        <item h="1" x="21"/>
        <item h="1" x="24"/>
        <item h="1" x="25"/>
        <item h="1" x="26"/>
        <item x="1"/>
        <item x="5"/>
        <item h="1" x="7"/>
        <item h="1" x="6"/>
        <item h="1" x="2"/>
        <item x="3"/>
        <item h="1" x="4"/>
        <item h="1" x="0"/>
        <item x="22"/>
        <item h="1" x="23"/>
        <item t="default"/>
      </items>
      <autoSortScope>
        <pivotArea dataOnly="0" outline="0" fieldPosition="0">
          <references count="1">
            <reference field="4294967294" count="1" selected="0">
              <x v="0"/>
            </reference>
          </references>
        </pivotArea>
      </autoSortScope>
    </pivotField>
    <pivotField showAll="0"/>
    <pivotField dataField="1"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25"/>
    </i>
    <i>
      <x v="13"/>
    </i>
    <i>
      <x v="20"/>
    </i>
    <i>
      <x v="21"/>
    </i>
    <i>
      <x v="7"/>
    </i>
    <i>
      <x v="28"/>
    </i>
    <i>
      <x v="11"/>
    </i>
    <i>
      <x v="10"/>
    </i>
    <i>
      <x v="5"/>
    </i>
    <i t="grand">
      <x/>
    </i>
  </rowItems>
  <colFields count="1">
    <field x="-2"/>
  </colFields>
  <colItems count="2">
    <i>
      <x/>
    </i>
    <i i="1">
      <x v="1"/>
    </i>
  </colItems>
  <dataFields count="2">
    <dataField name="Sum of estimated_shipments_units" fld="16" baseField="0" baseItem="0"/>
    <dataField name="Max of launch_date" fld="3" subtotal="max" baseField="1" baseItem="0" numFmtId="1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3CFD5FA5-7B02-4446-B81F-9578619A1EAE}" name="PivotTable6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fp16_tflops">
  <location ref="A3:B31" firstHeaderRow="1" firstDataRow="1" firstDataCol="1"/>
  <pivotFields count="29">
    <pivotField showAll="0"/>
    <pivotField showAll="0"/>
    <pivotField showAll="0"/>
    <pivotField numFmtId="14" showAll="0"/>
    <pivotField showAll="0"/>
    <pivotField showAll="0"/>
    <pivotField showAll="0"/>
    <pivotField showAll="0"/>
    <pivotField axis="axisRow" showAll="0" sortType="descending">
      <items count="28">
        <item x="25"/>
        <item x="26"/>
        <item x="0"/>
        <item x="10"/>
        <item x="17"/>
        <item x="12"/>
        <item x="22"/>
        <item x="11"/>
        <item x="1"/>
        <item x="3"/>
        <item x="7"/>
        <item x="13"/>
        <item x="20"/>
        <item x="23"/>
        <item x="16"/>
        <item x="21"/>
        <item x="19"/>
        <item x="24"/>
        <item x="14"/>
        <item x="2"/>
        <item x="18"/>
        <item x="8"/>
        <item x="15"/>
        <item x="9"/>
        <item x="4"/>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8">
    <i>
      <x v="20"/>
    </i>
    <i>
      <x v="26"/>
    </i>
    <i>
      <x v="25"/>
    </i>
    <i>
      <x v="23"/>
    </i>
    <i>
      <x v="24"/>
    </i>
    <i>
      <x v="21"/>
    </i>
    <i>
      <x v="19"/>
    </i>
    <i>
      <x v="14"/>
    </i>
    <i>
      <x v="10"/>
    </i>
    <i>
      <x v="17"/>
    </i>
    <i>
      <x v="8"/>
    </i>
    <i>
      <x v="13"/>
    </i>
    <i>
      <x v="9"/>
    </i>
    <i>
      <x v="16"/>
    </i>
    <i>
      <x v="22"/>
    </i>
    <i>
      <x v="15"/>
    </i>
    <i>
      <x v="2"/>
    </i>
    <i>
      <x v="12"/>
    </i>
    <i>
      <x v="6"/>
    </i>
    <i>
      <x v="3"/>
    </i>
    <i>
      <x v="18"/>
    </i>
    <i>
      <x v="4"/>
    </i>
    <i>
      <x v="7"/>
    </i>
    <i>
      <x v="11"/>
    </i>
    <i>
      <x v="5"/>
    </i>
    <i>
      <x v="1"/>
    </i>
    <i>
      <x/>
    </i>
    <i t="grand">
      <x/>
    </i>
  </rowItems>
  <colItems count="1">
    <i/>
  </colItems>
  <dataFields count="1">
    <dataField name="Average of tdp_watts" fld="12" subtotal="average" baseField="0" baseItem="0"/>
  </dataField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70C790A7-85E4-41A4-9264-10B766B425B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F15" firstHeaderRow="1" firstDataRow="2" firstDataCol="1"/>
  <pivotFields count="3">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0"/>
  </rowFields>
  <rowItems count="11">
    <i>
      <x/>
    </i>
    <i>
      <x v="1"/>
    </i>
    <i>
      <x v="2"/>
    </i>
    <i>
      <x v="3"/>
    </i>
    <i>
      <x v="4"/>
    </i>
    <i>
      <x v="5"/>
    </i>
    <i>
      <x v="6"/>
    </i>
    <i>
      <x v="7"/>
    </i>
    <i>
      <x v="8"/>
    </i>
    <i>
      <x v="9"/>
    </i>
    <i t="grand">
      <x/>
    </i>
  </rowItems>
  <colFields count="1">
    <field x="1"/>
  </colFields>
  <col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colItems>
  <dataFields count="1">
    <dataField name="Sum of estimated_shipments_units" fld="2" baseField="0" baseItem="0"/>
  </dataFields>
  <chartFormats count="30">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2">
          <reference field="4294967294" count="1" selected="0">
            <x v="0"/>
          </reference>
          <reference field="1" count="1" selected="0">
            <x v="6"/>
          </reference>
        </references>
      </pivotArea>
    </chartFormat>
    <chartFormat chart="2" format="7" series="1">
      <pivotArea type="data" outline="0" fieldPosition="0">
        <references count="2">
          <reference field="4294967294" count="1" selected="0">
            <x v="0"/>
          </reference>
          <reference field="1" count="1" selected="0">
            <x v="7"/>
          </reference>
        </references>
      </pivotArea>
    </chartFormat>
    <chartFormat chart="2" format="8" series="1">
      <pivotArea type="data" outline="0" fieldPosition="0">
        <references count="2">
          <reference field="4294967294" count="1" selected="0">
            <x v="0"/>
          </reference>
          <reference field="1" count="1" selected="0">
            <x v="8"/>
          </reference>
        </references>
      </pivotArea>
    </chartFormat>
    <chartFormat chart="2" format="9" series="1">
      <pivotArea type="data" outline="0" fieldPosition="0">
        <references count="2">
          <reference field="4294967294" count="1" selected="0">
            <x v="0"/>
          </reference>
          <reference field="1" count="1" selected="0">
            <x v="9"/>
          </reference>
        </references>
      </pivotArea>
    </chartFormat>
    <chartFormat chart="2" format="10" series="1">
      <pivotArea type="data" outline="0" fieldPosition="0">
        <references count="2">
          <reference field="4294967294" count="1" selected="0">
            <x v="0"/>
          </reference>
          <reference field="1" count="1" selected="0">
            <x v="10"/>
          </reference>
        </references>
      </pivotArea>
    </chartFormat>
    <chartFormat chart="2" format="11" series="1">
      <pivotArea type="data" outline="0" fieldPosition="0">
        <references count="2">
          <reference field="4294967294" count="1" selected="0">
            <x v="0"/>
          </reference>
          <reference field="1" count="1" selected="0">
            <x v="11"/>
          </reference>
        </references>
      </pivotArea>
    </chartFormat>
    <chartFormat chart="2" format="12" series="1">
      <pivotArea type="data" outline="0" fieldPosition="0">
        <references count="2">
          <reference field="4294967294" count="1" selected="0">
            <x v="0"/>
          </reference>
          <reference field="1" count="1" selected="0">
            <x v="12"/>
          </reference>
        </references>
      </pivotArea>
    </chartFormat>
    <chartFormat chart="2" format="13" series="1">
      <pivotArea type="data" outline="0" fieldPosition="0">
        <references count="2">
          <reference field="4294967294" count="1" selected="0">
            <x v="0"/>
          </reference>
          <reference field="1" count="1" selected="0">
            <x v="13"/>
          </reference>
        </references>
      </pivotArea>
    </chartFormat>
    <chartFormat chart="2" format="14" series="1">
      <pivotArea type="data" outline="0" fieldPosition="0">
        <references count="2">
          <reference field="4294967294" count="1" selected="0">
            <x v="0"/>
          </reference>
          <reference field="1" count="1" selected="0">
            <x v="14"/>
          </reference>
        </references>
      </pivotArea>
    </chartFormat>
    <chartFormat chart="2" format="15" series="1">
      <pivotArea type="data" outline="0" fieldPosition="0">
        <references count="2">
          <reference field="4294967294" count="1" selected="0">
            <x v="0"/>
          </reference>
          <reference field="1" count="1" selected="0">
            <x v="15"/>
          </reference>
        </references>
      </pivotArea>
    </chartFormat>
    <chartFormat chart="2" format="16" series="1">
      <pivotArea type="data" outline="0" fieldPosition="0">
        <references count="2">
          <reference field="4294967294" count="1" selected="0">
            <x v="0"/>
          </reference>
          <reference field="1" count="1" selected="0">
            <x v="16"/>
          </reference>
        </references>
      </pivotArea>
    </chartFormat>
    <chartFormat chart="2" format="17" series="1">
      <pivotArea type="data" outline="0" fieldPosition="0">
        <references count="2">
          <reference field="4294967294" count="1" selected="0">
            <x v="0"/>
          </reference>
          <reference field="1" count="1" selected="0">
            <x v="17"/>
          </reference>
        </references>
      </pivotArea>
    </chartFormat>
    <chartFormat chart="2" format="18" series="1">
      <pivotArea type="data" outline="0" fieldPosition="0">
        <references count="2">
          <reference field="4294967294" count="1" selected="0">
            <x v="0"/>
          </reference>
          <reference field="1" count="1" selected="0">
            <x v="18"/>
          </reference>
        </references>
      </pivotArea>
    </chartFormat>
    <chartFormat chart="2" format="19" series="1">
      <pivotArea type="data" outline="0" fieldPosition="0">
        <references count="2">
          <reference field="4294967294" count="1" selected="0">
            <x v="0"/>
          </reference>
          <reference field="1" count="1" selected="0">
            <x v="19"/>
          </reference>
        </references>
      </pivotArea>
    </chartFormat>
    <chartFormat chart="2" format="20" series="1">
      <pivotArea type="data" outline="0" fieldPosition="0">
        <references count="2">
          <reference field="4294967294" count="1" selected="0">
            <x v="0"/>
          </reference>
          <reference field="1" count="1" selected="0">
            <x v="20"/>
          </reference>
        </references>
      </pivotArea>
    </chartFormat>
    <chartFormat chart="2" format="21" series="1">
      <pivotArea type="data" outline="0" fieldPosition="0">
        <references count="2">
          <reference field="4294967294" count="1" selected="0">
            <x v="0"/>
          </reference>
          <reference field="1" count="1" selected="0">
            <x v="21"/>
          </reference>
        </references>
      </pivotArea>
    </chartFormat>
    <chartFormat chart="2" format="22" series="1">
      <pivotArea type="data" outline="0" fieldPosition="0">
        <references count="2">
          <reference field="4294967294" count="1" selected="0">
            <x v="0"/>
          </reference>
          <reference field="1" count="1" selected="0">
            <x v="22"/>
          </reference>
        </references>
      </pivotArea>
    </chartFormat>
    <chartFormat chart="2" format="23" series="1">
      <pivotArea type="data" outline="0" fieldPosition="0">
        <references count="2">
          <reference field="4294967294" count="1" selected="0">
            <x v="0"/>
          </reference>
          <reference field="1" count="1" selected="0">
            <x v="23"/>
          </reference>
        </references>
      </pivotArea>
    </chartFormat>
    <chartFormat chart="2" format="24" series="1">
      <pivotArea type="data" outline="0" fieldPosition="0">
        <references count="2">
          <reference field="4294967294" count="1" selected="0">
            <x v="0"/>
          </reference>
          <reference field="1" count="1" selected="0">
            <x v="24"/>
          </reference>
        </references>
      </pivotArea>
    </chartFormat>
    <chartFormat chart="2" format="25" series="1">
      <pivotArea type="data" outline="0" fieldPosition="0">
        <references count="2">
          <reference field="4294967294" count="1" selected="0">
            <x v="0"/>
          </reference>
          <reference field="1" count="1" selected="0">
            <x v="25"/>
          </reference>
        </references>
      </pivotArea>
    </chartFormat>
    <chartFormat chart="2" format="26" series="1">
      <pivotArea type="data" outline="0" fieldPosition="0">
        <references count="2">
          <reference field="4294967294" count="1" selected="0">
            <x v="0"/>
          </reference>
          <reference field="1" count="1" selected="0">
            <x v="26"/>
          </reference>
        </references>
      </pivotArea>
    </chartFormat>
    <chartFormat chart="2" format="27" series="1">
      <pivotArea type="data" outline="0" fieldPosition="0">
        <references count="2">
          <reference field="4294967294" count="1" selected="0">
            <x v="0"/>
          </reference>
          <reference field="1" count="1" selected="0">
            <x v="27"/>
          </reference>
        </references>
      </pivotArea>
    </chartFormat>
    <chartFormat chart="2" format="28" series="1">
      <pivotArea type="data" outline="0" fieldPosition="0">
        <references count="2">
          <reference field="4294967294" count="1" selected="0">
            <x v="0"/>
          </reference>
          <reference field="1" count="1" selected="0">
            <x v="28"/>
          </reference>
        </references>
      </pivotArea>
    </chartFormat>
    <chartFormat chart="2" format="29" series="1">
      <pivotArea type="data" outline="0" fieldPosition="0">
        <references count="2">
          <reference field="4294967294" count="1" selected="0">
            <x v="0"/>
          </reference>
          <reference field="1" count="1" selected="0">
            <x v="29"/>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chip_mark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1FD6BDEF-51B8-4E41-867F-FBB7E5038866}" name="Table1" displayName="Table1" ref="A1:AE121" totalsRowShown="0">
  <autoFilter ref="A1:AE121" xr:uid="{1FD6BDEF-51B8-4E41-867F-FBB7E5038866}"/>
  <sortState xmlns:xlrd2="http://schemas.microsoft.com/office/spreadsheetml/2017/richdata2" ref="A2:AE121">
    <sortCondition descending="1" ref="Q1:Q121"/>
  </sortState>
  <tableColumns count="31">
    <tableColumn id="1" xr3:uid="{7F804471-1610-4B75-83A9-13E7E189A2D9}" name="year"/>
    <tableColumn id="2" xr3:uid="{A5E22319-B6A8-4128-8252-A38587F66A25}" name="chip_name"/>
    <tableColumn id="3" xr3:uid="{FC443D4C-1F5F-4190-B969-EBF3D9885062}" name="vendor"/>
    <tableColumn id="4" xr3:uid="{10568BB8-0BBB-48AC-B6B5-0C68D43F83BA}" name="launch_date" dataDxfId="20"/>
    <tableColumn id="29" xr3:uid="{7094C10F-E118-42BB-A700-76F9B0E5AF7E}" name="years_since_launch column" dataDxfId="19">
      <calculatedColumnFormula>Table1[[#This Row],[year]]-YEAR(Table1[[#This Row],[launch_date]])</calculatedColumnFormula>
    </tableColumn>
    <tableColumn id="5" xr3:uid="{57661161-B4BD-454A-A69C-828DAF8D31DC}" name="memory_gb"/>
    <tableColumn id="17" xr3:uid="{29422A4C-66D3-478A-8B2A-45E4E5290331}" name="skew(memory_gb)" dataDxfId="18">
      <calculatedColumnFormula>SKEW(Table1[memory_gb])</calculatedColumnFormula>
    </tableColumn>
    <tableColumn id="20" xr3:uid="{071A7C2C-00A6-4ED6-9D50-D9D031D62790}" name="log(memory_gb)" dataDxfId="17">
      <calculatedColumnFormula>LN(1+Table1[[#This Row],[memory_gb]])</calculatedColumnFormula>
    </tableColumn>
    <tableColumn id="32" xr3:uid="{D4887F07-4450-42AD-A99B-E51D530CDF76}" name="log1(memory_gb)" dataDxfId="16">
      <calculatedColumnFormula>SKEW(Table1[log(memory_gb)])</calculatedColumnFormula>
    </tableColumn>
    <tableColumn id="6" xr3:uid="{7BDE400E-C36E-4B6E-9054-70B06AE85A1A}" name="fp16_tflops"/>
    <tableColumn id="18" xr3:uid="{71391D3A-4E4B-4147-A7D4-825AE0893679}" name="skew(f16_tflops)" dataDxfId="15">
      <calculatedColumnFormula array="1">SKEW(Table1[fp16_tflops])</calculatedColumnFormula>
    </tableColumn>
    <tableColumn id="21" xr3:uid="{6E30B83F-01D6-45E8-A81C-E2128CBAAB34}" name="log(fp16_tpflops)" dataDxfId="14">
      <calculatedColumnFormula>LN(1+Table1[[#This Row],[fp16_tflops]])</calculatedColumnFormula>
    </tableColumn>
    <tableColumn id="31" xr3:uid="{964BF6BF-FC55-4611-8248-F9BA197C8E4B}" name="log1(fp16-tflops)" dataDxfId="13">
      <calculatedColumnFormula>SKEW(L2:L121)</calculatedColumnFormula>
    </tableColumn>
    <tableColumn id="7" xr3:uid="{9F5D7FDF-B883-4E20-B497-F99EBE6F3713}" name="tdp_watts"/>
    <tableColumn id="19" xr3:uid="{35C13732-D943-4E6F-8E51-F9CDCC4C452F}" name="skew(tdp_watts)" dataDxfId="12">
      <calculatedColumnFormula array="1">SKEW(Table1[tdp_watts])</calculatedColumnFormula>
    </tableColumn>
    <tableColumn id="22" xr3:uid="{B4A1E26F-353D-4473-AA29-1A51403A3859}" name="log(tdp_watts)" dataDxfId="11">
      <calculatedColumnFormula>LN(1+Table1[[#This Row],[tdp_watts]])</calculatedColumnFormula>
    </tableColumn>
    <tableColumn id="12" xr3:uid="{723C3160-7A54-4A77-A0C0-B8B436870EDE}" name="Efficiency" dataDxfId="10" dataCellStyle="Percent">
      <calculatedColumnFormula>(Table1[[#This Row],[fp16_tflops]]/Table1[[#This Row],[tdp_watts]])</calculatedColumnFormula>
    </tableColumn>
    <tableColumn id="30" xr3:uid="{BDD1FD30-FC55-489B-B2C8-EC7C69D8F207}" name="log1(tdp_watts)" dataDxfId="9">
      <calculatedColumnFormula>SKEW(Table1[log(tdp_watts)])</calculatedColumnFormula>
    </tableColumn>
    <tableColumn id="8" xr3:uid="{2B8E1993-E914-4C1D-9000-96DC0BFF5926}" name="estimated_shipments_units"/>
    <tableColumn id="13" xr3:uid="{C3772D07-2966-406E-9E89-204091731038}" name="Skew(estimated_shipment" dataDxfId="8">
      <calculatedColumnFormula>SKEW(Table1[estimated_shipments_units])</calculatedColumnFormula>
    </tableColumn>
    <tableColumn id="23" xr3:uid="{E7BAE6ED-1972-4033-8677-DFFEA6C43608}" name="log(estimated_shipment-units)" dataDxfId="7">
      <calculatedColumnFormula>LN(1+Table1[[#This Row],[estimated_shipments_units]])</calculatedColumnFormula>
    </tableColumn>
    <tableColumn id="26" xr3:uid="{D81AB896-4EA0-41C8-8BB3-D83A19E8FDA1}" name="log1 (estimated_shipment)" dataDxfId="6">
      <calculatedColumnFormula>SKEW(U2:U121)</calculatedColumnFormula>
    </tableColumn>
    <tableColumn id="9" xr3:uid="{18AEBD3A-E4D9-4D47-BAA0-4D65157F0063}" name="estimated_asp_usd"/>
    <tableColumn id="15" xr3:uid="{D88F7F2F-C329-4869-AE9E-D1C4B3BBD3B1}" name="Skew(estimated_asp_usd)" dataDxfId="5">
      <calculatedColumnFormula>SKEW(Table1[estimated_asp_usd])</calculatedColumnFormula>
    </tableColumn>
    <tableColumn id="24" xr3:uid="{2752DF76-BE77-4C8A-93CC-4109D0BEB619}" name="log(estimated_asp_usd)" dataDxfId="4">
      <calculatedColumnFormula>LN(1+Table1[[#This Row],[estimated_asp_usd]])</calculatedColumnFormula>
    </tableColumn>
    <tableColumn id="27" xr3:uid="{22CDC293-F3CF-4CB0-810E-AFC551606940}" name="log1(estimated_asp_usd)" dataDxfId="3">
      <calculatedColumnFormula>SKEW(Table1[log(estimated_asp_usd)])</calculatedColumnFormula>
    </tableColumn>
    <tableColumn id="10" xr3:uid="{8FDBE52C-447A-40BD-B9AE-2E7FAA152610}" name="estimated_revenue_usd_m"/>
    <tableColumn id="16" xr3:uid="{43E08C0E-AFE7-4600-9C6F-AE874B9B1FB8}" name="skew(estimated_revenue_usd)" dataDxfId="2">
      <calculatedColumnFormula>SKEW(Table1[estimated_revenue_usd_m])</calculatedColumnFormula>
    </tableColumn>
    <tableColumn id="25" xr3:uid="{C84E19DF-515F-47B6-9A60-32DCADB8A8F7}" name="log(estimated_revenue_usd)" dataDxfId="1">
      <calculatedColumnFormula>LN(1+Table1[[#This Row],[estimated_revenue_usd_m]])</calculatedColumnFormula>
    </tableColumn>
    <tableColumn id="28" xr3:uid="{E7845E8A-40EA-4C7B-AD08-35CB40FE352D}" name="log1(revenue)" dataDxfId="0">
      <calculatedColumnFormula>SKEW(Table1[log(estimated_revenue_usd)])</calculatedColumnFormula>
    </tableColumn>
    <tableColumn id="11" xr3:uid="{99A0B761-171D-4142-A46E-9D472762CD80}" name="description"/>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purl.oclc.org/ooxml/officeDocument/relationships/table" Target="../tables/table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drawing" Target="../drawings/drawing1.xml"/></Relationships>
</file>

<file path=xl/worksheets/_rels/sheet3.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ivotTable" Target="../pivotTables/pivotTable1.xml"/></Relationships>
</file>

<file path=xl/worksheets/_rels/sheet4.xml.rels><?xml version="1.0" encoding="UTF-8" standalone="yes"?>
<Relationships xmlns="http://schemas.openxmlformats.org/package/2006/relationships"><Relationship Id="rId1" Type="http://purl.oclc.org/ooxml/officeDocument/relationships/drawing" Target="../drawings/drawing3.xml"/></Relationships>
</file>

<file path=xl/worksheets/_rels/sheet5.xml.rels><?xml version="1.0" encoding="UTF-8" standalone="yes"?>
<Relationships xmlns="http://schemas.openxmlformats.org/package/2006/relationships"><Relationship Id="rId2" Type="http://purl.oclc.org/ooxml/officeDocument/relationships/drawing" Target="../drawings/drawing4.xml"/><Relationship Id="rId1" Type="http://purl.oclc.org/ooxml/officeDocument/relationships/pivotTable" Target="../pivotTables/pivotTable2.xml"/></Relationships>
</file>

<file path=xl/worksheets/_rels/sheet6.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ivotTable" Target="../pivotTables/pivotTable3.xml"/></Relationships>
</file>

<file path=xl/worksheets/_rels/sheet7.xml.rels><?xml version="1.0" encoding="UTF-8" standalone="yes"?>
<Relationships xmlns="http://schemas.openxmlformats.org/package/2006/relationships"><Relationship Id="rId1" Type="http://purl.oclc.org/ooxml/officeDocument/relationships/drawing" Target="../drawings/drawing6.xml"/></Relationships>
</file>

<file path=xl/worksheets/_rels/sheet9.xml.rels><?xml version="1.0" encoding="UTF-8" standalone="yes"?>
<Relationships xmlns="http://schemas.openxmlformats.org/package/2006/relationships"><Relationship Id="rId2" Type="http://purl.oclc.org/ooxml/officeDocument/relationships/drawing" Target="../drawings/drawing7.xml"/><Relationship Id="rId1" Type="http://purl.oclc.org/ooxml/officeDocument/relationships/pivotTable" Target="../pivotTables/pivotTable4.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8E81-AFDC-4B53-A7E4-20F3B5359147}">
  <dimension ref="A1:BI121"/>
  <sheetViews>
    <sheetView topLeftCell="AA1" zoomScale="76" workbookViewId="0">
      <selection activeCell="AJ2" sqref="AJ2:AL2"/>
    </sheetView>
  </sheetViews>
  <sheetFormatPr defaultRowHeight="14.5" x14ac:dyDescent="0.35"/>
  <cols>
    <col min="1" max="1" width="6.36328125" customWidth="1"/>
    <col min="2" max="2" width="18.7265625" bestFit="1" customWidth="1"/>
    <col min="3" max="3" width="10.453125" bestFit="1" customWidth="1"/>
    <col min="4" max="4" width="13.1796875" style="1" customWidth="1"/>
    <col min="5" max="5" width="13.1796875" style="11" customWidth="1"/>
    <col min="6" max="6" width="12.453125" customWidth="1"/>
    <col min="7" max="9" width="12.453125" hidden="1" customWidth="1"/>
    <col min="10" max="10" width="12.1796875" customWidth="1"/>
    <col min="11" max="13" width="11" hidden="1" customWidth="1"/>
    <col min="14" max="14" width="26.08984375" customWidth="1"/>
    <col min="15" max="16" width="26.08984375" hidden="1" customWidth="1"/>
    <col min="17" max="17" width="26.08984375" style="10" customWidth="1"/>
    <col min="18" max="18" width="26.08984375" hidden="1" customWidth="1"/>
    <col min="19" max="19" width="26.08984375" customWidth="1"/>
    <col min="20" max="20" width="19" hidden="1" customWidth="1"/>
    <col min="21" max="21" width="19" customWidth="1"/>
    <col min="22" max="22" width="19" hidden="1" customWidth="1"/>
    <col min="23" max="23" width="19" customWidth="1"/>
    <col min="24" max="24" width="25.1796875" hidden="1" customWidth="1"/>
    <col min="25" max="25" width="25.1796875" customWidth="1"/>
    <col min="26" max="26" width="25.1796875" hidden="1" customWidth="1"/>
    <col min="27" max="27" width="25.1796875" customWidth="1"/>
    <col min="28" max="28" width="33.90625" hidden="1" customWidth="1"/>
    <col min="29" max="29" width="33.90625" customWidth="1"/>
    <col min="30" max="30" width="33.90625" hidden="1" customWidth="1"/>
    <col min="32" max="32" width="18.7265625" bestFit="1" customWidth="1"/>
    <col min="33" max="33" width="7" hidden="1" customWidth="1"/>
    <col min="34" max="34" width="0" hidden="1" customWidth="1"/>
    <col min="56" max="61" width="0" hidden="1" customWidth="1"/>
  </cols>
  <sheetData>
    <row r="1" spans="1:61" x14ac:dyDescent="0.35">
      <c r="A1" t="s">
        <v>0</v>
      </c>
      <c r="B1" t="s">
        <v>1</v>
      </c>
      <c r="C1" t="s">
        <v>2</v>
      </c>
      <c r="D1" s="1" t="s">
        <v>3</v>
      </c>
      <c r="E1" s="11" t="s">
        <v>110</v>
      </c>
      <c r="F1" t="s">
        <v>4</v>
      </c>
      <c r="G1" t="s">
        <v>87</v>
      </c>
      <c r="H1" t="s">
        <v>90</v>
      </c>
      <c r="I1" t="s">
        <v>101</v>
      </c>
      <c r="J1" t="s">
        <v>5</v>
      </c>
      <c r="K1" t="s">
        <v>88</v>
      </c>
      <c r="L1" t="s">
        <v>91</v>
      </c>
      <c r="M1" t="s">
        <v>100</v>
      </c>
      <c r="N1" t="s">
        <v>6</v>
      </c>
      <c r="O1" t="s">
        <v>89</v>
      </c>
      <c r="P1" t="s">
        <v>92</v>
      </c>
      <c r="Q1" s="10" t="s">
        <v>109</v>
      </c>
      <c r="R1" t="s">
        <v>99</v>
      </c>
      <c r="S1" t="s">
        <v>7</v>
      </c>
      <c r="T1" t="s">
        <v>84</v>
      </c>
      <c r="U1" t="s">
        <v>93</v>
      </c>
      <c r="V1" t="s">
        <v>98</v>
      </c>
      <c r="W1" t="s">
        <v>8</v>
      </c>
      <c r="X1" t="s">
        <v>85</v>
      </c>
      <c r="Y1" t="s">
        <v>94</v>
      </c>
      <c r="Z1" t="s">
        <v>97</v>
      </c>
      <c r="AA1" t="s">
        <v>9</v>
      </c>
      <c r="AB1" t="s">
        <v>86</v>
      </c>
      <c r="AC1" t="s">
        <v>95</v>
      </c>
      <c r="AD1" t="s">
        <v>96</v>
      </c>
      <c r="AE1" t="s">
        <v>10</v>
      </c>
      <c r="BD1" s="5" t="s">
        <v>4</v>
      </c>
      <c r="BE1" s="5" t="s">
        <v>5</v>
      </c>
      <c r="BF1" s="5" t="s">
        <v>6</v>
      </c>
      <c r="BG1" s="5" t="s">
        <v>7</v>
      </c>
      <c r="BH1" s="5" t="s">
        <v>8</v>
      </c>
      <c r="BI1" s="5" t="s">
        <v>9</v>
      </c>
    </row>
    <row r="2" spans="1:61" x14ac:dyDescent="0.35">
      <c r="A2">
        <v>2025</v>
      </c>
      <c r="B2" t="s">
        <v>37</v>
      </c>
      <c r="C2" t="s">
        <v>57</v>
      </c>
      <c r="D2" s="1" t="d">
        <v>2025-12-01</v>
      </c>
      <c r="E2" s="11">
        <f>Table1[[#This Row],[year]]-YEAR(Table1[[#This Row],[launch_date]])</f>
        <v>0</v>
      </c>
      <c r="F2">
        <v>64</v>
      </c>
      <c r="G2">
        <f>SKEW(Table1[memory_gb])</f>
        <v>4.4615286901097004</v>
      </c>
      <c r="H2">
        <f>LN(1+Table1[[#This Row],[memory_gb]])</f>
        <v>4.1743872698956368</v>
      </c>
      <c r="I2">
        <f>SKEW(Table1[log(memory_gb)])</f>
        <v>-0.12349734745152563</v>
      </c>
      <c r="J2">
        <v>1500</v>
      </c>
      <c r="K2" cm="1">
        <f t="array" ref="K2">SKEW(Table1[fp16_tflops])</f>
        <v>3.0570434318989719</v>
      </c>
      <c r="L2">
        <f>LN(1+Table1[[#This Row],[fp16_tflops]])</f>
        <v>7.3138868316334618</v>
      </c>
      <c r="M2">
        <f t="shared" ref="M2:M33" si="0">SKEW(L2:L121)</f>
        <v>9.1349618152657852E-2</v>
      </c>
      <c r="N2">
        <v>300</v>
      </c>
      <c r="O2" cm="1">
        <f t="array" ref="O2">SKEW(Table1[tdp_watts])</f>
        <v>6.0149845187563606</v>
      </c>
      <c r="P2">
        <f>LN(1+Table1[[#This Row],[tdp_watts]])</f>
        <v>5.7071102647488754</v>
      </c>
      <c r="Q2" s="10">
        <f>(Table1[[#This Row],[fp16_tflops]]/Table1[[#This Row],[tdp_watts]])</f>
        <v>5</v>
      </c>
      <c r="R2">
        <f>SKEW(Table1[log(tdp_watts)])</f>
        <v>1.0730603511378074</v>
      </c>
      <c r="S2">
        <v>0</v>
      </c>
      <c r="T2">
        <f>SKEW(Table1[estimated_shipments_units])</f>
        <v>5.1829756087773573</v>
      </c>
      <c r="U2">
        <f>LN(1+Table1[[#This Row],[estimated_shipments_units]])</f>
        <v>0</v>
      </c>
      <c r="V2">
        <f t="shared" ref="V2:V33" si="1">SKEW(U2:U121)</f>
        <v>-0.34996924658063761</v>
      </c>
      <c r="W2">
        <v>15000</v>
      </c>
      <c r="X2">
        <f>SKEW(Table1[estimated_asp_usd])</f>
        <v>6.1553602568167474</v>
      </c>
      <c r="Y2">
        <f>LN(1+Table1[[#This Row],[estimated_asp_usd]])</f>
        <v>9.6158721445288897</v>
      </c>
      <c r="Z2">
        <f>SKEW(Table1[log(estimated_asp_usd)])</f>
        <v>-2.8993473795412101</v>
      </c>
      <c r="AA2">
        <v>0</v>
      </c>
      <c r="AB2">
        <f>SKEW(Table1[estimated_revenue_usd_m])</f>
        <v>5.8862244869270315</v>
      </c>
      <c r="AC2">
        <f>LN(1+Table1[[#This Row],[estimated_revenue_usd_m]])</f>
        <v>0</v>
      </c>
      <c r="AD2">
        <f>SKEW(Table1[log(estimated_revenue_usd)])</f>
        <v>0.29428154884363278</v>
      </c>
      <c r="AE2" t="s">
        <v>63</v>
      </c>
      <c r="AJ2" s="12" t="s">
        <v>112</v>
      </c>
      <c r="AK2" s="12"/>
      <c r="AL2" s="12"/>
      <c r="BD2" s="6">
        <v>128</v>
      </c>
      <c r="BE2" s="6">
        <v>383</v>
      </c>
      <c r="BF2" s="6">
        <v>500</v>
      </c>
      <c r="BG2" s="6">
        <v>23</v>
      </c>
      <c r="BH2" s="6">
        <v>15000</v>
      </c>
      <c r="BI2" s="6">
        <v>0.3</v>
      </c>
    </row>
    <row r="3" spans="1:61" ht="14.5" customHeight="1" x14ac:dyDescent="0.35">
      <c r="A3">
        <v>2026</v>
      </c>
      <c r="B3" t="s">
        <v>37</v>
      </c>
      <c r="C3" t="s">
        <v>57</v>
      </c>
      <c r="D3" s="1" t="d">
        <v>2025-12-01</v>
      </c>
      <c r="E3" s="11">
        <f>Table1[[#This Row],[year]]-YEAR(Table1[[#This Row],[launch_date]])</f>
        <v>1</v>
      </c>
      <c r="F3">
        <v>64</v>
      </c>
      <c r="G3">
        <f>SKEW(Table1[memory_gb])</f>
        <v>4.4615286901097004</v>
      </c>
      <c r="H3">
        <f>LN(1+Table1[[#This Row],[memory_gb]])</f>
        <v>4.1743872698956368</v>
      </c>
      <c r="I3">
        <f>SKEW(Table1[log(memory_gb)])</f>
        <v>-0.12349734745152563</v>
      </c>
      <c r="J3">
        <v>1500</v>
      </c>
      <c r="K3" cm="1">
        <f t="array" ref="K3">SKEW(Table1[fp16_tflops])</f>
        <v>3.0570434318989719</v>
      </c>
      <c r="L3">
        <f>LN(1+Table1[[#This Row],[fp16_tflops]])</f>
        <v>7.3138868316334618</v>
      </c>
      <c r="M3">
        <f t="shared" si="0"/>
        <v>0.10832801530675315</v>
      </c>
      <c r="N3">
        <v>300</v>
      </c>
      <c r="O3" cm="1">
        <f t="array" ref="O3">SKEW(Table1[tdp_watts])</f>
        <v>6.0149845187563606</v>
      </c>
      <c r="P3">
        <f>LN(1+Table1[[#This Row],[tdp_watts]])</f>
        <v>5.7071102647488754</v>
      </c>
      <c r="Q3" s="10">
        <f>(Table1[[#This Row],[fp16_tflops]]/Table1[[#This Row],[tdp_watts]])</f>
        <v>5</v>
      </c>
      <c r="R3">
        <f>SKEW(Table1[log(tdp_watts)])</f>
        <v>1.0730603511378074</v>
      </c>
      <c r="S3">
        <v>801</v>
      </c>
      <c r="T3">
        <f>SKEW(Table1[estimated_shipments_units])</f>
        <v>5.1829756087773573</v>
      </c>
      <c r="U3">
        <f>LN(1+Table1[[#This Row],[estimated_shipments_units]])</f>
        <v>6.6871086078665147</v>
      </c>
      <c r="V3">
        <f t="shared" si="1"/>
        <v>-0.31493757731006666</v>
      </c>
      <c r="W3">
        <v>15000</v>
      </c>
      <c r="X3">
        <f>SKEW(Table1[estimated_asp_usd])</f>
        <v>6.1553602568167474</v>
      </c>
      <c r="Y3">
        <f>LN(1+Table1[[#This Row],[estimated_asp_usd]])</f>
        <v>9.6158721445288897</v>
      </c>
      <c r="Z3">
        <f>SKEW(Table1[log(estimated_asp_usd)])</f>
        <v>-2.8993473795412101</v>
      </c>
      <c r="AA3">
        <v>12</v>
      </c>
      <c r="AB3">
        <f>SKEW(Table1[estimated_revenue_usd_m])</f>
        <v>5.8862244869270315</v>
      </c>
      <c r="AC3">
        <f>LN(1+Table1[[#This Row],[estimated_revenue_usd_m]])</f>
        <v>2.5649493574615367</v>
      </c>
      <c r="AD3">
        <f>SKEW(Table1[log(estimated_revenue_usd)])</f>
        <v>0.29428154884363278</v>
      </c>
      <c r="AE3" t="s">
        <v>63</v>
      </c>
      <c r="AI3" s="14" t="s">
        <v>113</v>
      </c>
      <c r="AJ3" s="14"/>
      <c r="AK3" s="14"/>
      <c r="AL3" s="14"/>
      <c r="AM3" s="13"/>
      <c r="BD3" s="7">
        <v>128</v>
      </c>
      <c r="BE3" s="7">
        <v>383</v>
      </c>
      <c r="BF3" s="7">
        <v>500</v>
      </c>
      <c r="BG3" s="7">
        <v>1030</v>
      </c>
      <c r="BH3" s="7">
        <v>15000</v>
      </c>
      <c r="BI3" s="7">
        <v>15.4</v>
      </c>
    </row>
    <row r="4" spans="1:61" x14ac:dyDescent="0.35">
      <c r="A4">
        <v>2024</v>
      </c>
      <c r="B4" t="s">
        <v>36</v>
      </c>
      <c r="C4" t="s">
        <v>57</v>
      </c>
      <c r="D4" s="1" t="d">
        <v>2024-05-14</v>
      </c>
      <c r="E4" s="11">
        <f>Table1[[#This Row],[year]]-YEAR(Table1[[#This Row],[launch_date]])</f>
        <v>0</v>
      </c>
      <c r="F4">
        <v>32</v>
      </c>
      <c r="G4">
        <f>SKEW(Table1[memory_gb])</f>
        <v>4.4615286901097004</v>
      </c>
      <c r="H4">
        <f>LN(1+Table1[[#This Row],[memory_gb]])</f>
        <v>3.4965075614664802</v>
      </c>
      <c r="I4">
        <f>SKEW(Table1[log(memory_gb)])</f>
        <v>-0.12349734745152563</v>
      </c>
      <c r="J4">
        <v>926</v>
      </c>
      <c r="K4" cm="1">
        <f t="array" ref="K4">SKEW(Table1[fp16_tflops])</f>
        <v>3.0570434318989719</v>
      </c>
      <c r="L4">
        <f>LN(1+Table1[[#This Row],[fp16_tflops]])</f>
        <v>6.831953565565855</v>
      </c>
      <c r="M4">
        <f t="shared" si="0"/>
        <v>0.12557805514904397</v>
      </c>
      <c r="N4">
        <v>200</v>
      </c>
      <c r="O4" cm="1">
        <f t="array" ref="O4">SKEW(Table1[tdp_watts])</f>
        <v>6.0149845187563606</v>
      </c>
      <c r="P4">
        <f>LN(1+Table1[[#This Row],[tdp_watts]])</f>
        <v>5.3033049080590757</v>
      </c>
      <c r="Q4" s="10">
        <f>(Table1[[#This Row],[fp16_tflops]]/Table1[[#This Row],[tdp_watts]])</f>
        <v>4.63</v>
      </c>
      <c r="R4">
        <f>SKEW(Table1[log(tdp_watts)])</f>
        <v>1.0730603511378074</v>
      </c>
      <c r="S4">
        <v>46633</v>
      </c>
      <c r="T4">
        <f>SKEW(Table1[estimated_shipments_units])</f>
        <v>5.1829756087773573</v>
      </c>
      <c r="U4">
        <f>LN(1+Table1[[#This Row],[estimated_shipments_units]])</f>
        <v>10.750085167808939</v>
      </c>
      <c r="V4">
        <f t="shared" si="1"/>
        <v>-0.32630868527960183</v>
      </c>
      <c r="W4">
        <v>0</v>
      </c>
      <c r="X4">
        <f>SKEW(Table1[estimated_asp_usd])</f>
        <v>6.1553602568167474</v>
      </c>
      <c r="Y4">
        <f>LN(1+Table1[[#This Row],[estimated_asp_usd]])</f>
        <v>0</v>
      </c>
      <c r="Z4">
        <f>SKEW(Table1[log(estimated_asp_usd)])</f>
        <v>-2.8993473795412101</v>
      </c>
      <c r="AA4">
        <v>0</v>
      </c>
      <c r="AB4">
        <f>SKEW(Table1[estimated_revenue_usd_m])</f>
        <v>5.8862244869270315</v>
      </c>
      <c r="AC4">
        <f>LN(1+Table1[[#This Row],[estimated_revenue_usd_m]])</f>
        <v>0</v>
      </c>
      <c r="AD4">
        <f>SKEW(Table1[log(estimated_revenue_usd)])</f>
        <v>0.29428154884363278</v>
      </c>
      <c r="AE4" t="s">
        <v>62</v>
      </c>
      <c r="AI4" s="14"/>
      <c r="AJ4" s="14"/>
      <c r="AK4" s="14"/>
      <c r="AL4" s="14"/>
      <c r="AM4" s="13"/>
      <c r="BD4" s="6">
        <v>128</v>
      </c>
      <c r="BE4" s="6">
        <v>383</v>
      </c>
      <c r="BF4" s="6">
        <v>500</v>
      </c>
      <c r="BG4" s="6">
        <v>713</v>
      </c>
      <c r="BH4" s="6">
        <v>15000</v>
      </c>
      <c r="BI4" s="6">
        <v>10.7</v>
      </c>
    </row>
    <row r="5" spans="1:61" x14ac:dyDescent="0.35">
      <c r="A5">
        <v>2025</v>
      </c>
      <c r="B5" t="s">
        <v>36</v>
      </c>
      <c r="C5" t="s">
        <v>57</v>
      </c>
      <c r="D5" s="1" t="d">
        <v>2024-05-14</v>
      </c>
      <c r="E5" s="11">
        <f>Table1[[#This Row],[year]]-YEAR(Table1[[#This Row],[launch_date]])</f>
        <v>1</v>
      </c>
      <c r="F5">
        <v>32</v>
      </c>
      <c r="G5">
        <f>SKEW(Table1[memory_gb])</f>
        <v>4.4615286901097004</v>
      </c>
      <c r="H5">
        <f>LN(1+Table1[[#This Row],[memory_gb]])</f>
        <v>3.4965075614664802</v>
      </c>
      <c r="I5">
        <f>SKEW(Table1[log(memory_gb)])</f>
        <v>-0.12349734745152563</v>
      </c>
      <c r="J5">
        <v>926</v>
      </c>
      <c r="K5" cm="1">
        <f t="array" ref="K5">SKEW(Table1[fp16_tflops])</f>
        <v>3.0570434318989719</v>
      </c>
      <c r="L5">
        <f>LN(1+Table1[[#This Row],[fp16_tflops]])</f>
        <v>6.831953565565855</v>
      </c>
      <c r="M5">
        <f t="shared" si="0"/>
        <v>0.14217546675810425</v>
      </c>
      <c r="N5">
        <v>200</v>
      </c>
      <c r="O5" cm="1">
        <f t="array" ref="O5">SKEW(Table1[tdp_watts])</f>
        <v>6.0149845187563606</v>
      </c>
      <c r="P5">
        <f>LN(1+Table1[[#This Row],[tdp_watts]])</f>
        <v>5.3033049080590757</v>
      </c>
      <c r="Q5" s="10">
        <f>(Table1[[#This Row],[fp16_tflops]]/Table1[[#This Row],[tdp_watts]])</f>
        <v>4.63</v>
      </c>
      <c r="R5">
        <f>SKEW(Table1[log(tdp_watts)])</f>
        <v>1.0730603511378074</v>
      </c>
      <c r="S5">
        <v>305904</v>
      </c>
      <c r="T5">
        <f>SKEW(Table1[estimated_shipments_units])</f>
        <v>5.1829756087773573</v>
      </c>
      <c r="U5">
        <f>LN(1+Table1[[#This Row],[estimated_shipments_units]])</f>
        <v>12.631029875216267</v>
      </c>
      <c r="V5">
        <f t="shared" si="1"/>
        <v>-0.31192428439054487</v>
      </c>
      <c r="W5">
        <v>0</v>
      </c>
      <c r="X5">
        <f>SKEW(Table1[estimated_asp_usd])</f>
        <v>6.1553602568167474</v>
      </c>
      <c r="Y5">
        <f>LN(1+Table1[[#This Row],[estimated_asp_usd]])</f>
        <v>0</v>
      </c>
      <c r="Z5">
        <f>SKEW(Table1[log(estimated_asp_usd)])</f>
        <v>-2.8993473795412101</v>
      </c>
      <c r="AA5">
        <v>0</v>
      </c>
      <c r="AB5">
        <f>SKEW(Table1[estimated_revenue_usd_m])</f>
        <v>5.8862244869270315</v>
      </c>
      <c r="AC5">
        <f>LN(1+Table1[[#This Row],[estimated_revenue_usd_m]])</f>
        <v>0</v>
      </c>
      <c r="AD5">
        <f>SKEW(Table1[log(estimated_revenue_usd)])</f>
        <v>0.29428154884363278</v>
      </c>
      <c r="AE5" t="s">
        <v>62</v>
      </c>
      <c r="AI5" s="14"/>
      <c r="AJ5" s="14"/>
      <c r="AK5" s="14"/>
      <c r="AL5" s="14"/>
      <c r="AM5" s="13"/>
      <c r="BD5" s="7">
        <v>128</v>
      </c>
      <c r="BE5" s="7">
        <v>383</v>
      </c>
      <c r="BF5" s="7">
        <v>500</v>
      </c>
      <c r="BG5" s="7">
        <v>354</v>
      </c>
      <c r="BH5" s="7">
        <v>15000</v>
      </c>
      <c r="BI5" s="7">
        <v>5.3</v>
      </c>
    </row>
    <row r="6" spans="1:61" x14ac:dyDescent="0.35">
      <c r="A6">
        <v>2026</v>
      </c>
      <c r="B6" t="s">
        <v>36</v>
      </c>
      <c r="C6" t="s">
        <v>57</v>
      </c>
      <c r="D6" s="1" t="d">
        <v>2024-05-14</v>
      </c>
      <c r="E6" s="11">
        <f>Table1[[#This Row],[year]]-YEAR(Table1[[#This Row],[launch_date]])</f>
        <v>2</v>
      </c>
      <c r="F6">
        <v>32</v>
      </c>
      <c r="G6">
        <f>SKEW(Table1[memory_gb])</f>
        <v>4.4615286901097004</v>
      </c>
      <c r="H6">
        <f>LN(1+Table1[[#This Row],[memory_gb]])</f>
        <v>3.4965075614664802</v>
      </c>
      <c r="I6">
        <f>SKEW(Table1[log(memory_gb)])</f>
        <v>-0.12349734745152563</v>
      </c>
      <c r="J6">
        <v>926</v>
      </c>
      <c r="K6" cm="1">
        <f t="array" ref="K6">SKEW(Table1[fp16_tflops])</f>
        <v>3.0570434318989719</v>
      </c>
      <c r="L6">
        <f>LN(1+Table1[[#This Row],[fp16_tflops]])</f>
        <v>6.831953565565855</v>
      </c>
      <c r="M6">
        <f t="shared" si="0"/>
        <v>0.15905004318380403</v>
      </c>
      <c r="N6">
        <v>200</v>
      </c>
      <c r="O6" cm="1">
        <f t="array" ref="O6">SKEW(Table1[tdp_watts])</f>
        <v>6.0149845187563606</v>
      </c>
      <c r="P6">
        <f>LN(1+Table1[[#This Row],[tdp_watts]])</f>
        <v>5.3033049080590757</v>
      </c>
      <c r="Q6" s="10">
        <f>(Table1[[#This Row],[fp16_tflops]]/Table1[[#This Row],[tdp_watts]])</f>
        <v>4.63</v>
      </c>
      <c r="R6">
        <f>SKEW(Table1[log(tdp_watts)])</f>
        <v>1.0730603511378074</v>
      </c>
      <c r="S6">
        <v>237500</v>
      </c>
      <c r="T6">
        <f>SKEW(Table1[estimated_shipments_units])</f>
        <v>5.1829756087773573</v>
      </c>
      <c r="U6">
        <f>LN(1+Table1[[#This Row],[estimated_shipments_units]])</f>
        <v>12.377927112974284</v>
      </c>
      <c r="V6">
        <f t="shared" si="1"/>
        <v>-0.30104755748789008</v>
      </c>
      <c r="W6">
        <v>0</v>
      </c>
      <c r="X6">
        <f>SKEW(Table1[estimated_asp_usd])</f>
        <v>6.1553602568167474</v>
      </c>
      <c r="Y6">
        <f>LN(1+Table1[[#This Row],[estimated_asp_usd]])</f>
        <v>0</v>
      </c>
      <c r="Z6">
        <f>SKEW(Table1[log(estimated_asp_usd)])</f>
        <v>-2.8993473795412101</v>
      </c>
      <c r="AA6">
        <v>0</v>
      </c>
      <c r="AB6">
        <f>SKEW(Table1[estimated_revenue_usd_m])</f>
        <v>5.8862244869270315</v>
      </c>
      <c r="AC6">
        <f>LN(1+Table1[[#This Row],[estimated_revenue_usd_m]])</f>
        <v>0</v>
      </c>
      <c r="AD6">
        <f>SKEW(Table1[log(estimated_revenue_usd)])</f>
        <v>0.29428154884363278</v>
      </c>
      <c r="AE6" t="s">
        <v>62</v>
      </c>
      <c r="AI6" s="14"/>
      <c r="AJ6" s="14"/>
      <c r="AK6" s="14"/>
      <c r="AL6" s="14"/>
      <c r="AM6" s="13"/>
      <c r="BD6" s="6">
        <v>128</v>
      </c>
      <c r="BE6" s="6">
        <v>383</v>
      </c>
      <c r="BF6" s="6">
        <v>500</v>
      </c>
      <c r="BG6" s="6">
        <v>122</v>
      </c>
      <c r="BH6" s="6">
        <v>15000</v>
      </c>
      <c r="BI6" s="6">
        <v>1.8</v>
      </c>
    </row>
    <row r="7" spans="1:61" x14ac:dyDescent="0.35">
      <c r="A7">
        <v>2023</v>
      </c>
      <c r="B7" t="s">
        <v>34</v>
      </c>
      <c r="C7" t="s">
        <v>57</v>
      </c>
      <c r="D7" s="1" t="d">
        <v>2023-12-06</v>
      </c>
      <c r="E7" s="11">
        <f>Table1[[#This Row],[year]]-YEAR(Table1[[#This Row],[launch_date]])</f>
        <v>0</v>
      </c>
      <c r="F7">
        <v>96</v>
      </c>
      <c r="G7">
        <f>SKEW(Table1[memory_gb])</f>
        <v>4.4615286901097004</v>
      </c>
      <c r="H7">
        <f>LN(1+Table1[[#This Row],[memory_gb]])</f>
        <v>4.5747109785033828</v>
      </c>
      <c r="I7">
        <f>SKEW(Table1[log(memory_gb)])</f>
        <v>-0.12349734745152563</v>
      </c>
      <c r="J7">
        <v>459</v>
      </c>
      <c r="K7" cm="1">
        <f t="array" ref="K7">SKEW(Table1[fp16_tflops])</f>
        <v>3.0570434318989719</v>
      </c>
      <c r="L7">
        <f>LN(1+Table1[[#This Row],[fp16_tflops]])</f>
        <v>6.131226489483141</v>
      </c>
      <c r="M7">
        <f t="shared" si="0"/>
        <v>0.17621190198705436</v>
      </c>
      <c r="N7">
        <v>170</v>
      </c>
      <c r="O7" cm="1">
        <f t="array" ref="O7">SKEW(Table1[tdp_watts])</f>
        <v>6.0149845187563606</v>
      </c>
      <c r="P7">
        <f>LN(1+Table1[[#This Row],[tdp_watts]])</f>
        <v>5.1416635565026603</v>
      </c>
      <c r="Q7" s="10">
        <f>(Table1[[#This Row],[fp16_tflops]]/Table1[[#This Row],[tdp_watts]])</f>
        <v>2.7</v>
      </c>
      <c r="R7">
        <f>SKEW(Table1[log(tdp_watts)])</f>
        <v>1.0730603511378074</v>
      </c>
      <c r="S7">
        <v>0</v>
      </c>
      <c r="T7">
        <f>SKEW(Table1[estimated_shipments_units])</f>
        <v>5.1829756087773573</v>
      </c>
      <c r="U7">
        <f>LN(1+Table1[[#This Row],[estimated_shipments_units]])</f>
        <v>0</v>
      </c>
      <c r="V7">
        <f t="shared" si="1"/>
        <v>-0.2885652498495781</v>
      </c>
      <c r="W7">
        <v>0</v>
      </c>
      <c r="X7">
        <f>SKEW(Table1[estimated_asp_usd])</f>
        <v>6.1553602568167474</v>
      </c>
      <c r="Y7">
        <f>LN(1+Table1[[#This Row],[estimated_asp_usd]])</f>
        <v>0</v>
      </c>
      <c r="Z7">
        <f>SKEW(Table1[log(estimated_asp_usd)])</f>
        <v>-2.8993473795412101</v>
      </c>
      <c r="AA7">
        <v>0</v>
      </c>
      <c r="AB7">
        <f>SKEW(Table1[estimated_revenue_usd_m])</f>
        <v>5.8862244869270315</v>
      </c>
      <c r="AC7">
        <f>LN(1+Table1[[#This Row],[estimated_revenue_usd_m]])</f>
        <v>0</v>
      </c>
      <c r="AD7">
        <f>SKEW(Table1[log(estimated_revenue_usd)])</f>
        <v>0.29428154884363278</v>
      </c>
      <c r="AE7" t="s">
        <v>61</v>
      </c>
      <c r="AI7" s="14"/>
      <c r="AJ7" s="14"/>
      <c r="AK7" s="14"/>
      <c r="AL7" s="14"/>
      <c r="AM7" s="13"/>
      <c r="BD7" s="7">
        <v>128</v>
      </c>
      <c r="BE7" s="7">
        <v>383</v>
      </c>
      <c r="BF7" s="7">
        <v>500</v>
      </c>
      <c r="BG7" s="7">
        <v>159</v>
      </c>
      <c r="BH7" s="7">
        <v>15000</v>
      </c>
      <c r="BI7" s="7">
        <v>2.4</v>
      </c>
    </row>
    <row r="8" spans="1:61" x14ac:dyDescent="0.35">
      <c r="A8">
        <v>2024</v>
      </c>
      <c r="B8" t="s">
        <v>34</v>
      </c>
      <c r="C8" t="s">
        <v>57</v>
      </c>
      <c r="D8" s="1" t="d">
        <v>2023-12-06</v>
      </c>
      <c r="E8" s="11">
        <f>Table1[[#This Row],[year]]-YEAR(Table1[[#This Row],[launch_date]])</f>
        <v>1</v>
      </c>
      <c r="F8">
        <v>96</v>
      </c>
      <c r="G8">
        <f>SKEW(Table1[memory_gb])</f>
        <v>4.4615286901097004</v>
      </c>
      <c r="H8">
        <f>LN(1+Table1[[#This Row],[memory_gb]])</f>
        <v>4.5747109785033828</v>
      </c>
      <c r="I8">
        <f>SKEW(Table1[log(memory_gb)])</f>
        <v>-0.12349734745152563</v>
      </c>
      <c r="J8">
        <v>459</v>
      </c>
      <c r="K8" cm="1">
        <f t="array" ref="K8">SKEW(Table1[fp16_tflops])</f>
        <v>3.0570434318989719</v>
      </c>
      <c r="L8">
        <f>LN(1+Table1[[#This Row],[fp16_tflops]])</f>
        <v>6.131226489483141</v>
      </c>
      <c r="M8">
        <f t="shared" si="0"/>
        <v>0.17850811975669448</v>
      </c>
      <c r="N8">
        <v>170</v>
      </c>
      <c r="O8" cm="1">
        <f t="array" ref="O8">SKEW(Table1[tdp_watts])</f>
        <v>6.0149845187563606</v>
      </c>
      <c r="P8">
        <f>LN(1+Table1[[#This Row],[tdp_watts]])</f>
        <v>5.1416635565026603</v>
      </c>
      <c r="Q8" s="10">
        <f>(Table1[[#This Row],[fp16_tflops]]/Table1[[#This Row],[tdp_watts]])</f>
        <v>2.7</v>
      </c>
      <c r="R8">
        <f>SKEW(Table1[log(tdp_watts)])</f>
        <v>1.0730603511378074</v>
      </c>
      <c r="S8">
        <v>272799</v>
      </c>
      <c r="T8">
        <f>SKEW(Table1[estimated_shipments_units])</f>
        <v>5.1829756087773573</v>
      </c>
      <c r="U8">
        <f>LN(1+Table1[[#This Row],[estimated_shipments_units]])</f>
        <v>12.516494204951444</v>
      </c>
      <c r="V8">
        <f t="shared" si="1"/>
        <v>-0.24179747947860239</v>
      </c>
      <c r="W8">
        <v>0</v>
      </c>
      <c r="X8">
        <f>SKEW(Table1[estimated_asp_usd])</f>
        <v>6.1553602568167474</v>
      </c>
      <c r="Y8">
        <f>LN(1+Table1[[#This Row],[estimated_asp_usd]])</f>
        <v>0</v>
      </c>
      <c r="Z8">
        <f>SKEW(Table1[log(estimated_asp_usd)])</f>
        <v>-2.8993473795412101</v>
      </c>
      <c r="AA8">
        <v>0</v>
      </c>
      <c r="AB8">
        <f>SKEW(Table1[estimated_revenue_usd_m])</f>
        <v>5.8862244869270315</v>
      </c>
      <c r="AC8">
        <f>LN(1+Table1[[#This Row],[estimated_revenue_usd_m]])</f>
        <v>0</v>
      </c>
      <c r="AD8">
        <f>SKEW(Table1[log(estimated_revenue_usd)])</f>
        <v>0.29428154884363278</v>
      </c>
      <c r="AE8" t="s">
        <v>61</v>
      </c>
      <c r="AG8" t="s">
        <v>14</v>
      </c>
      <c r="AH8" t="s">
        <v>15</v>
      </c>
      <c r="AI8" s="14"/>
      <c r="AJ8" s="14"/>
      <c r="AK8" s="14"/>
      <c r="AL8" s="14"/>
      <c r="BD8" s="6">
        <v>192</v>
      </c>
      <c r="BE8" s="6">
        <v>1300</v>
      </c>
      <c r="BF8" s="6">
        <v>750</v>
      </c>
      <c r="BG8" s="6">
        <v>0</v>
      </c>
      <c r="BH8" s="6">
        <v>18000</v>
      </c>
      <c r="BI8" s="6">
        <v>0</v>
      </c>
    </row>
    <row r="9" spans="1:61" x14ac:dyDescent="0.35">
      <c r="A9">
        <v>2025</v>
      </c>
      <c r="B9" t="s">
        <v>34</v>
      </c>
      <c r="C9" t="s">
        <v>57</v>
      </c>
      <c r="D9" s="1" t="d">
        <v>2023-12-06</v>
      </c>
      <c r="E9" s="11">
        <f>Table1[[#This Row],[year]]-YEAR(Table1[[#This Row],[launch_date]])</f>
        <v>2</v>
      </c>
      <c r="F9">
        <v>96</v>
      </c>
      <c r="G9">
        <f>SKEW(Table1[memory_gb])</f>
        <v>4.4615286901097004</v>
      </c>
      <c r="H9">
        <f>LN(1+Table1[[#This Row],[memory_gb]])</f>
        <v>4.5747109785033828</v>
      </c>
      <c r="I9">
        <f>SKEW(Table1[log(memory_gb)])</f>
        <v>-0.12349734745152563</v>
      </c>
      <c r="J9">
        <v>459</v>
      </c>
      <c r="K9" cm="1">
        <f t="array" ref="K9">SKEW(Table1[fp16_tflops])</f>
        <v>3.0570434318989719</v>
      </c>
      <c r="L9">
        <f>LN(1+Table1[[#This Row],[fp16_tflops]])</f>
        <v>6.131226489483141</v>
      </c>
      <c r="M9">
        <f t="shared" si="0"/>
        <v>0.18082934317600266</v>
      </c>
      <c r="N9">
        <v>170</v>
      </c>
      <c r="O9" cm="1">
        <f t="array" ref="O9">SKEW(Table1[tdp_watts])</f>
        <v>6.0149845187563606</v>
      </c>
      <c r="P9">
        <f>LN(1+Table1[[#This Row],[tdp_watts]])</f>
        <v>5.1416635565026603</v>
      </c>
      <c r="Q9" s="10">
        <f>(Table1[[#This Row],[fp16_tflops]]/Table1[[#This Row],[tdp_watts]])</f>
        <v>2.7</v>
      </c>
      <c r="R9">
        <f>SKEW(Table1[log(tdp_watts)])</f>
        <v>1.0730603511378074</v>
      </c>
      <c r="S9">
        <v>214821</v>
      </c>
      <c r="T9">
        <f>SKEW(Table1[estimated_shipments_units])</f>
        <v>5.1829756087773573</v>
      </c>
      <c r="U9">
        <f>LN(1+Table1[[#This Row],[estimated_shipments_units]])</f>
        <v>12.2775650572288</v>
      </c>
      <c r="V9">
        <f t="shared" si="1"/>
        <v>-0.22944880720586935</v>
      </c>
      <c r="W9">
        <v>0</v>
      </c>
      <c r="X9">
        <f>SKEW(Table1[estimated_asp_usd])</f>
        <v>6.1553602568167474</v>
      </c>
      <c r="Y9">
        <f>LN(1+Table1[[#This Row],[estimated_asp_usd]])</f>
        <v>0</v>
      </c>
      <c r="Z9">
        <f>SKEW(Table1[log(estimated_asp_usd)])</f>
        <v>-2.8993473795412101</v>
      </c>
      <c r="AA9">
        <v>0</v>
      </c>
      <c r="AB9">
        <f>SKEW(Table1[estimated_revenue_usd_m])</f>
        <v>5.8862244869270315</v>
      </c>
      <c r="AC9">
        <f>LN(1+Table1[[#This Row],[estimated_revenue_usd_m]])</f>
        <v>0</v>
      </c>
      <c r="AD9">
        <f>SKEW(Table1[log(estimated_revenue_usd)])</f>
        <v>0.29428154884363278</v>
      </c>
      <c r="AE9" t="s">
        <v>61</v>
      </c>
      <c r="AG9" t="str" cm="1">
        <f t="array" ref="AG9:AG19">_xlfn.UNIQUE(C2:C121)</f>
        <v>Google</v>
      </c>
      <c r="AH9">
        <f t="shared" ref="AH9:AH19" si="2">COUNTIF(C2:C121,AG9)</f>
        <v>26</v>
      </c>
      <c r="BD9" s="7">
        <v>192</v>
      </c>
      <c r="BE9" s="7">
        <v>1300</v>
      </c>
      <c r="BF9" s="7">
        <v>750</v>
      </c>
      <c r="BG9" s="7">
        <v>414143</v>
      </c>
      <c r="BH9" s="7">
        <v>18000</v>
      </c>
      <c r="BI9" s="7">
        <v>7454.6</v>
      </c>
    </row>
    <row r="10" spans="1:61" x14ac:dyDescent="0.35">
      <c r="A10">
        <v>2026</v>
      </c>
      <c r="B10" t="s">
        <v>34</v>
      </c>
      <c r="C10" t="s">
        <v>57</v>
      </c>
      <c r="D10" s="1" t="d">
        <v>2023-12-06</v>
      </c>
      <c r="E10" s="11">
        <f>Table1[[#This Row],[year]]-YEAR(Table1[[#This Row],[launch_date]])</f>
        <v>3</v>
      </c>
      <c r="F10">
        <v>96</v>
      </c>
      <c r="G10">
        <f>SKEW(Table1[memory_gb])</f>
        <v>4.4615286901097004</v>
      </c>
      <c r="H10">
        <f>LN(1+Table1[[#This Row],[memory_gb]])</f>
        <v>4.5747109785033828</v>
      </c>
      <c r="I10">
        <f>SKEW(Table1[log(memory_gb)])</f>
        <v>-0.12349734745152563</v>
      </c>
      <c r="J10">
        <v>459</v>
      </c>
      <c r="K10" cm="1">
        <f t="array" ref="K10">SKEW(Table1[fp16_tflops])</f>
        <v>3.0570434318989719</v>
      </c>
      <c r="L10">
        <f>LN(1+Table1[[#This Row],[fp16_tflops]])</f>
        <v>6.131226489483141</v>
      </c>
      <c r="M10">
        <f t="shared" si="0"/>
        <v>0.1831761238093427</v>
      </c>
      <c r="N10">
        <v>170</v>
      </c>
      <c r="O10" cm="1">
        <f t="array" ref="O10">SKEW(Table1[tdp_watts])</f>
        <v>6.0149845187563606</v>
      </c>
      <c r="P10">
        <f>LN(1+Table1[[#This Row],[tdp_watts]])</f>
        <v>5.1416635565026603</v>
      </c>
      <c r="Q10" s="10">
        <f>(Table1[[#This Row],[fp16_tflops]]/Table1[[#This Row],[tdp_watts]])</f>
        <v>2.7</v>
      </c>
      <c r="R10">
        <f>SKEW(Table1[log(tdp_watts)])</f>
        <v>1.0730603511378074</v>
      </c>
      <c r="S10">
        <v>100220</v>
      </c>
      <c r="T10">
        <f>SKEW(Table1[estimated_shipments_units])</f>
        <v>5.1829756087773573</v>
      </c>
      <c r="U10">
        <f>LN(1+Table1[[#This Row],[estimated_shipments_units]])</f>
        <v>11.515133026512229</v>
      </c>
      <c r="V10">
        <f t="shared" si="1"/>
        <v>-0.21561124689706004</v>
      </c>
      <c r="W10">
        <v>0</v>
      </c>
      <c r="X10">
        <f>SKEW(Table1[estimated_asp_usd])</f>
        <v>6.1553602568167474</v>
      </c>
      <c r="Y10">
        <f>LN(1+Table1[[#This Row],[estimated_asp_usd]])</f>
        <v>0</v>
      </c>
      <c r="Z10">
        <f>SKEW(Table1[log(estimated_asp_usd)])</f>
        <v>-2.8993473795412101</v>
      </c>
      <c r="AA10">
        <v>0</v>
      </c>
      <c r="AB10">
        <f>SKEW(Table1[estimated_revenue_usd_m])</f>
        <v>5.8862244869270315</v>
      </c>
      <c r="AC10">
        <f>LN(1+Table1[[#This Row],[estimated_revenue_usd_m]])</f>
        <v>0</v>
      </c>
      <c r="AD10">
        <f>SKEW(Table1[log(estimated_revenue_usd)])</f>
        <v>0.29428154884363278</v>
      </c>
      <c r="AE10" t="s">
        <v>61</v>
      </c>
      <c r="AG10" t="str">
        <v>NVIDIA</v>
      </c>
      <c r="AH10">
        <f t="shared" si="2"/>
        <v>33</v>
      </c>
      <c r="BD10" s="6">
        <v>192</v>
      </c>
      <c r="BE10" s="6">
        <v>1300</v>
      </c>
      <c r="BF10" s="6">
        <v>750</v>
      </c>
      <c r="BG10" s="6">
        <v>369849</v>
      </c>
      <c r="BH10" s="6">
        <v>18000</v>
      </c>
      <c r="BI10" s="6">
        <v>6657.3</v>
      </c>
    </row>
    <row r="11" spans="1:61" x14ac:dyDescent="0.35">
      <c r="A11">
        <v>2025</v>
      </c>
      <c r="B11" t="s">
        <v>24</v>
      </c>
      <c r="C11" t="s">
        <v>12</v>
      </c>
      <c r="D11" s="1" t="d">
        <v>2025-12-15</v>
      </c>
      <c r="E11" s="11">
        <f>Table1[[#This Row],[year]]-YEAR(Table1[[#This Row],[launch_date]])</f>
        <v>0</v>
      </c>
      <c r="F11">
        <v>288</v>
      </c>
      <c r="G11">
        <f>SKEW(Table1[memory_gb])</f>
        <v>4.4615286901097004</v>
      </c>
      <c r="H11">
        <f>LN(1+Table1[[#This Row],[memory_gb]])</f>
        <v>5.6664266881124323</v>
      </c>
      <c r="I11">
        <f>SKEW(Table1[log(memory_gb)])</f>
        <v>-0.12349734745152563</v>
      </c>
      <c r="J11">
        <v>3500</v>
      </c>
      <c r="K11" cm="1">
        <f t="array" ref="K11">SKEW(Table1[fp16_tflops])</f>
        <v>3.0570434318989719</v>
      </c>
      <c r="L11">
        <f>LN(1+Table1[[#This Row],[fp16_tflops]])</f>
        <v>8.160803920954665</v>
      </c>
      <c r="M11">
        <f t="shared" si="0"/>
        <v>0.18554903094684494</v>
      </c>
      <c r="N11">
        <v>1400</v>
      </c>
      <c r="O11" cm="1">
        <f t="array" ref="O11">SKEW(Table1[tdp_watts])</f>
        <v>6.0149845187563606</v>
      </c>
      <c r="P11">
        <f>LN(1+Table1[[#This Row],[tdp_watts]])</f>
        <v>7.2449415463370066</v>
      </c>
      <c r="Q11" s="10">
        <f>(Table1[[#This Row],[fp16_tflops]]/Table1[[#This Row],[tdp_watts]])</f>
        <v>2.5</v>
      </c>
      <c r="R11">
        <f>SKEW(Table1[log(tdp_watts)])</f>
        <v>1.0730603511378074</v>
      </c>
      <c r="S11">
        <v>0</v>
      </c>
      <c r="T11">
        <f>SKEW(Table1[estimated_shipments_units])</f>
        <v>5.1829756087773573</v>
      </c>
      <c r="U11">
        <f>LN(1+Table1[[#This Row],[estimated_shipments_units]])</f>
        <v>0</v>
      </c>
      <c r="V11">
        <f t="shared" si="1"/>
        <v>-0.19916098288271483</v>
      </c>
      <c r="W11">
        <v>40000</v>
      </c>
      <c r="X11">
        <f>SKEW(Table1[estimated_asp_usd])</f>
        <v>6.1553602568167474</v>
      </c>
      <c r="Y11">
        <f>LN(1+Table1[[#This Row],[estimated_asp_usd]])</f>
        <v>10.596659732783579</v>
      </c>
      <c r="Z11">
        <f>SKEW(Table1[log(estimated_asp_usd)])</f>
        <v>-2.8993473795412101</v>
      </c>
      <c r="AA11">
        <v>0</v>
      </c>
      <c r="AB11">
        <f>SKEW(Table1[estimated_revenue_usd_m])</f>
        <v>5.8862244869270315</v>
      </c>
      <c r="AC11">
        <f>LN(1+Table1[[#This Row],[estimated_revenue_usd_m]])</f>
        <v>0</v>
      </c>
      <c r="AD11">
        <f>SKEW(Table1[log(estimated_revenue_usd)])</f>
        <v>0.29428154884363278</v>
      </c>
      <c r="AE11" t="s">
        <v>43</v>
      </c>
      <c r="AG11" t="str">
        <v>Tenstorrent</v>
      </c>
      <c r="AH11">
        <f t="shared" si="2"/>
        <v>3</v>
      </c>
      <c r="BD11" s="7">
        <v>192</v>
      </c>
      <c r="BE11" s="7">
        <v>1300</v>
      </c>
      <c r="BF11" s="7">
        <v>750</v>
      </c>
      <c r="BG11" s="7">
        <v>162122</v>
      </c>
      <c r="BH11" s="7">
        <v>18000</v>
      </c>
      <c r="BI11" s="7">
        <v>2918.2</v>
      </c>
    </row>
    <row r="12" spans="1:61" x14ac:dyDescent="0.35">
      <c r="A12">
        <v>2026</v>
      </c>
      <c r="B12" t="s">
        <v>24</v>
      </c>
      <c r="C12" t="s">
        <v>12</v>
      </c>
      <c r="D12" s="1" t="d">
        <v>2025-12-15</v>
      </c>
      <c r="E12" s="11">
        <f>Table1[[#This Row],[year]]-YEAR(Table1[[#This Row],[launch_date]])</f>
        <v>1</v>
      </c>
      <c r="F12">
        <v>288</v>
      </c>
      <c r="G12">
        <f>SKEW(Table1[memory_gb])</f>
        <v>4.4615286901097004</v>
      </c>
      <c r="H12">
        <f>LN(1+Table1[[#This Row],[memory_gb]])</f>
        <v>5.6664266881124323</v>
      </c>
      <c r="I12">
        <f>SKEW(Table1[log(memory_gb)])</f>
        <v>-0.12349734745152563</v>
      </c>
      <c r="J12">
        <v>3500</v>
      </c>
      <c r="K12" cm="1">
        <f t="array" ref="K12">SKEW(Table1[fp16_tflops])</f>
        <v>3.0570434318989719</v>
      </c>
      <c r="L12">
        <f>LN(1+Table1[[#This Row],[fp16_tflops]])</f>
        <v>8.160803920954665</v>
      </c>
      <c r="M12">
        <f t="shared" si="0"/>
        <v>0.16969201596511865</v>
      </c>
      <c r="N12">
        <v>1400</v>
      </c>
      <c r="O12" cm="1">
        <f t="array" ref="O12">SKEW(Table1[tdp_watts])</f>
        <v>6.0149845187563606</v>
      </c>
      <c r="P12">
        <f>LN(1+Table1[[#This Row],[tdp_watts]])</f>
        <v>7.2449415463370066</v>
      </c>
      <c r="Q12" s="10">
        <f>(Table1[[#This Row],[fp16_tflops]]/Table1[[#This Row],[tdp_watts]])</f>
        <v>2.5</v>
      </c>
      <c r="R12">
        <f>SKEW(Table1[log(tdp_watts)])</f>
        <v>1.0730603511378074</v>
      </c>
      <c r="S12">
        <v>888</v>
      </c>
      <c r="T12">
        <f>SKEW(Table1[estimated_shipments_units])</f>
        <v>5.1829756087773573</v>
      </c>
      <c r="U12">
        <f>LN(1+Table1[[#This Row],[estimated_shipments_units]])</f>
        <v>6.7900972355139046</v>
      </c>
      <c r="V12">
        <f t="shared" si="1"/>
        <v>-0.13519513050138576</v>
      </c>
      <c r="W12">
        <v>40000</v>
      </c>
      <c r="X12">
        <f>SKEW(Table1[estimated_asp_usd])</f>
        <v>6.1553602568167474</v>
      </c>
      <c r="Y12">
        <f>LN(1+Table1[[#This Row],[estimated_asp_usd]])</f>
        <v>10.596659732783579</v>
      </c>
      <c r="Z12">
        <f>SKEW(Table1[log(estimated_asp_usd)])</f>
        <v>-2.8993473795412101</v>
      </c>
      <c r="AA12">
        <v>35.5</v>
      </c>
      <c r="AB12">
        <f>SKEW(Table1[estimated_revenue_usd_m])</f>
        <v>5.8862244869270315</v>
      </c>
      <c r="AC12">
        <f>LN(1+Table1[[#This Row],[estimated_revenue_usd_m]])</f>
        <v>3.597312260588446</v>
      </c>
      <c r="AD12">
        <f>SKEW(Table1[log(estimated_revenue_usd)])</f>
        <v>0.29428154884363278</v>
      </c>
      <c r="AE12" t="s">
        <v>43</v>
      </c>
      <c r="AG12" t="str">
        <v>Apple</v>
      </c>
      <c r="AH12">
        <f t="shared" si="2"/>
        <v>5</v>
      </c>
      <c r="BD12" s="6">
        <v>256</v>
      </c>
      <c r="BE12" s="6">
        <v>1300</v>
      </c>
      <c r="BF12" s="6">
        <v>1000</v>
      </c>
      <c r="BG12" s="6">
        <v>2651</v>
      </c>
      <c r="BH12" s="6">
        <v>22000</v>
      </c>
      <c r="BI12" s="6">
        <v>58.3</v>
      </c>
    </row>
    <row r="13" spans="1:61" x14ac:dyDescent="0.35">
      <c r="A13">
        <v>2024</v>
      </c>
      <c r="B13" t="s">
        <v>45</v>
      </c>
      <c r="C13" t="s">
        <v>73</v>
      </c>
      <c r="D13" s="1" t="d">
        <v>2024-08-26</v>
      </c>
      <c r="E13" s="11">
        <f>Table1[[#This Row],[year]]-YEAR(Table1[[#This Row],[launch_date]])</f>
        <v>0</v>
      </c>
      <c r="F13">
        <v>32</v>
      </c>
      <c r="G13">
        <f>SKEW(Table1[memory_gb])</f>
        <v>4.4615286901097004</v>
      </c>
      <c r="H13">
        <f>LN(1+Table1[[#This Row],[memory_gb]])</f>
        <v>3.4965075614664802</v>
      </c>
      <c r="I13">
        <f>SKEW(Table1[log(memory_gb)])</f>
        <v>-0.12349734745152563</v>
      </c>
      <c r="J13">
        <v>745</v>
      </c>
      <c r="K13" cm="1">
        <f t="array" ref="K13">SKEW(Table1[fp16_tflops])</f>
        <v>3.0570434318989719</v>
      </c>
      <c r="L13">
        <f>LN(1+Table1[[#This Row],[fp16_tflops]])</f>
        <v>6.6147256002037604</v>
      </c>
      <c r="M13">
        <f t="shared" si="0"/>
        <v>0.14814370521601383</v>
      </c>
      <c r="N13">
        <v>300</v>
      </c>
      <c r="O13" cm="1">
        <f t="array" ref="O13">SKEW(Table1[tdp_watts])</f>
        <v>6.0149845187563606</v>
      </c>
      <c r="P13">
        <f>LN(1+Table1[[#This Row],[tdp_watts]])</f>
        <v>5.7071102647488754</v>
      </c>
      <c r="Q13" s="10">
        <f>(Table1[[#This Row],[fp16_tflops]]/Table1[[#This Row],[tdp_watts]])</f>
        <v>2.4833333333333334</v>
      </c>
      <c r="R13">
        <f>SKEW(Table1[log(tdp_watts)])</f>
        <v>1.0730603511378074</v>
      </c>
      <c r="S13">
        <v>81</v>
      </c>
      <c r="T13">
        <f>SKEW(Table1[estimated_shipments_units])</f>
        <v>5.1829756087773573</v>
      </c>
      <c r="U13">
        <f>LN(1+Table1[[#This Row],[estimated_shipments_units]])</f>
        <v>4.4067192472642533</v>
      </c>
      <c r="V13">
        <f t="shared" si="1"/>
        <v>-0.14733844190705181</v>
      </c>
      <c r="W13">
        <v>15000</v>
      </c>
      <c r="X13">
        <f>SKEW(Table1[estimated_asp_usd])</f>
        <v>6.1553602568167474</v>
      </c>
      <c r="Y13">
        <f>LN(1+Table1[[#This Row],[estimated_asp_usd]])</f>
        <v>9.6158721445288897</v>
      </c>
      <c r="Z13">
        <f>SKEW(Table1[log(estimated_asp_usd)])</f>
        <v>-2.8993473795412101</v>
      </c>
      <c r="AA13">
        <v>1.2</v>
      </c>
      <c r="AB13">
        <f>SKEW(Table1[estimated_revenue_usd_m])</f>
        <v>5.8862244869270315</v>
      </c>
      <c r="AC13">
        <f>LN(1+Table1[[#This Row],[estimated_revenue_usd_m]])</f>
        <v>0.78845736036427028</v>
      </c>
      <c r="AD13">
        <f>SKEW(Table1[log(estimated_revenue_usd)])</f>
        <v>0.29428154884363278</v>
      </c>
      <c r="AE13" t="s">
        <v>74</v>
      </c>
      <c r="AG13" t="str">
        <v>Groq</v>
      </c>
      <c r="AH13">
        <f t="shared" si="2"/>
        <v>3</v>
      </c>
      <c r="BD13" s="7">
        <v>256</v>
      </c>
      <c r="BE13" s="7">
        <v>1300</v>
      </c>
      <c r="BF13" s="7">
        <v>1000</v>
      </c>
      <c r="BG13" s="7">
        <v>52331</v>
      </c>
      <c r="BH13" s="7">
        <v>22000</v>
      </c>
      <c r="BI13" s="7">
        <v>1151.3</v>
      </c>
    </row>
    <row r="14" spans="1:61" x14ac:dyDescent="0.35">
      <c r="A14">
        <v>2025</v>
      </c>
      <c r="B14" t="s">
        <v>45</v>
      </c>
      <c r="C14" t="s">
        <v>73</v>
      </c>
      <c r="D14" s="1" t="d">
        <v>2024-08-26</v>
      </c>
      <c r="E14" s="11">
        <f>Table1[[#This Row],[year]]-YEAR(Table1[[#This Row],[launch_date]])</f>
        <v>1</v>
      </c>
      <c r="F14">
        <v>32</v>
      </c>
      <c r="G14">
        <f>SKEW(Table1[memory_gb])</f>
        <v>4.4615286901097004</v>
      </c>
      <c r="H14">
        <f>LN(1+Table1[[#This Row],[memory_gb]])</f>
        <v>3.4965075614664802</v>
      </c>
      <c r="I14">
        <f>SKEW(Table1[log(memory_gb)])</f>
        <v>-0.12349734745152563</v>
      </c>
      <c r="J14">
        <v>745</v>
      </c>
      <c r="K14" cm="1">
        <f t="array" ref="K14">SKEW(Table1[fp16_tflops])</f>
        <v>3.0570434318989719</v>
      </c>
      <c r="L14">
        <f>LN(1+Table1[[#This Row],[fp16_tflops]])</f>
        <v>6.6147256002037604</v>
      </c>
      <c r="M14">
        <f t="shared" si="0"/>
        <v>0.16378499654796991</v>
      </c>
      <c r="N14">
        <v>300</v>
      </c>
      <c r="O14" cm="1">
        <f t="array" ref="O14">SKEW(Table1[tdp_watts])</f>
        <v>6.0149845187563606</v>
      </c>
      <c r="P14">
        <f>LN(1+Table1[[#This Row],[tdp_watts]])</f>
        <v>5.7071102647488754</v>
      </c>
      <c r="Q14" s="10">
        <f>(Table1[[#This Row],[fp16_tflops]]/Table1[[#This Row],[tdp_watts]])</f>
        <v>2.4833333333333334</v>
      </c>
      <c r="R14">
        <f>SKEW(Table1[log(tdp_watts)])</f>
        <v>1.0730603511378074</v>
      </c>
      <c r="S14">
        <v>861</v>
      </c>
      <c r="T14">
        <f>SKEW(Table1[estimated_shipments_units])</f>
        <v>5.1829756087773573</v>
      </c>
      <c r="U14">
        <f>LN(1+Table1[[#This Row],[estimated_shipments_units]])</f>
        <v>6.7592552706636928</v>
      </c>
      <c r="V14">
        <f t="shared" si="1"/>
        <v>-0.16712081221055491</v>
      </c>
      <c r="W14">
        <v>15000</v>
      </c>
      <c r="X14">
        <f>SKEW(Table1[estimated_asp_usd])</f>
        <v>6.1553602568167474</v>
      </c>
      <c r="Y14">
        <f>LN(1+Table1[[#This Row],[estimated_asp_usd]])</f>
        <v>9.6158721445288897</v>
      </c>
      <c r="Z14">
        <f>SKEW(Table1[log(estimated_asp_usd)])</f>
        <v>-2.8993473795412101</v>
      </c>
      <c r="AA14">
        <v>12.9</v>
      </c>
      <c r="AB14">
        <f>SKEW(Table1[estimated_revenue_usd_m])</f>
        <v>5.8862244869270315</v>
      </c>
      <c r="AC14">
        <f>LN(1+Table1[[#This Row],[estimated_revenue_usd_m]])</f>
        <v>2.631888840136646</v>
      </c>
      <c r="AD14">
        <f>SKEW(Table1[log(estimated_revenue_usd)])</f>
        <v>0.29428154884363278</v>
      </c>
      <c r="AE14" t="s">
        <v>74</v>
      </c>
      <c r="AG14" t="str">
        <v>AMD</v>
      </c>
      <c r="AH14">
        <f t="shared" si="2"/>
        <v>15</v>
      </c>
      <c r="BD14" s="6">
        <v>256</v>
      </c>
      <c r="BE14" s="6">
        <v>1300</v>
      </c>
      <c r="BF14" s="6">
        <v>1000</v>
      </c>
      <c r="BG14" s="6">
        <v>39454</v>
      </c>
      <c r="BH14" s="6">
        <v>22000</v>
      </c>
      <c r="BI14" s="6">
        <v>868</v>
      </c>
    </row>
    <row r="15" spans="1:61" x14ac:dyDescent="0.35">
      <c r="A15">
        <v>2026</v>
      </c>
      <c r="B15" t="s">
        <v>45</v>
      </c>
      <c r="C15" t="s">
        <v>73</v>
      </c>
      <c r="D15" s="1" t="d">
        <v>2024-08-26</v>
      </c>
      <c r="E15" s="11">
        <f>Table1[[#This Row],[year]]-YEAR(Table1[[#This Row],[launch_date]])</f>
        <v>2</v>
      </c>
      <c r="F15">
        <v>32</v>
      </c>
      <c r="G15">
        <f>SKEW(Table1[memory_gb])</f>
        <v>4.4615286901097004</v>
      </c>
      <c r="H15">
        <f>LN(1+Table1[[#This Row],[memory_gb]])</f>
        <v>3.4965075614664802</v>
      </c>
      <c r="I15">
        <f>SKEW(Table1[log(memory_gb)])</f>
        <v>-0.12349734745152563</v>
      </c>
      <c r="J15">
        <v>745</v>
      </c>
      <c r="K15" cm="1">
        <f t="array" ref="K15">SKEW(Table1[fp16_tflops])</f>
        <v>3.0570434318989719</v>
      </c>
      <c r="L15">
        <f>LN(1+Table1[[#This Row],[fp16_tflops]])</f>
        <v>6.6147256002037604</v>
      </c>
      <c r="M15">
        <f t="shared" si="0"/>
        <v>0.17967496268563177</v>
      </c>
      <c r="N15">
        <v>300</v>
      </c>
      <c r="O15" cm="1">
        <f t="array" ref="O15">SKEW(Table1[tdp_watts])</f>
        <v>6.0149845187563606</v>
      </c>
      <c r="P15">
        <f>LN(1+Table1[[#This Row],[tdp_watts]])</f>
        <v>5.7071102647488754</v>
      </c>
      <c r="Q15" s="10">
        <f>(Table1[[#This Row],[fp16_tflops]]/Table1[[#This Row],[tdp_watts]])</f>
        <v>2.4833333333333334</v>
      </c>
      <c r="R15">
        <f>SKEW(Table1[log(tdp_watts)])</f>
        <v>1.0730603511378074</v>
      </c>
      <c r="S15">
        <v>883</v>
      </c>
      <c r="T15">
        <f>SKEW(Table1[estimated_shipments_units])</f>
        <v>5.1829756087773573</v>
      </c>
      <c r="U15">
        <f>LN(1+Table1[[#This Row],[estimated_shipments_units]])</f>
        <v>6.7844570626376433</v>
      </c>
      <c r="V15">
        <f t="shared" si="1"/>
        <v>-0.18003762783601829</v>
      </c>
      <c r="W15">
        <v>15000</v>
      </c>
      <c r="X15">
        <f>SKEW(Table1[estimated_asp_usd])</f>
        <v>6.1553602568167474</v>
      </c>
      <c r="Y15">
        <f>LN(1+Table1[[#This Row],[estimated_asp_usd]])</f>
        <v>9.6158721445288897</v>
      </c>
      <c r="Z15">
        <f>SKEW(Table1[log(estimated_asp_usd)])</f>
        <v>-2.8993473795412101</v>
      </c>
      <c r="AA15">
        <v>13.2</v>
      </c>
      <c r="AB15">
        <f>SKEW(Table1[estimated_revenue_usd_m])</f>
        <v>5.8862244869270315</v>
      </c>
      <c r="AC15">
        <f>LN(1+Table1[[#This Row],[estimated_revenue_usd_m]])</f>
        <v>2.653241964607215</v>
      </c>
      <c r="AD15">
        <f>SKEW(Table1[log(estimated_revenue_usd)])</f>
        <v>0.29428154884363278</v>
      </c>
      <c r="AE15" t="s">
        <v>74</v>
      </c>
      <c r="AG15" t="str">
        <v>Huawei</v>
      </c>
      <c r="AH15">
        <f t="shared" si="2"/>
        <v>14</v>
      </c>
      <c r="BD15" s="7">
        <v>288</v>
      </c>
      <c r="BE15" s="7">
        <v>1850</v>
      </c>
      <c r="BF15" s="7">
        <v>1000</v>
      </c>
      <c r="BG15" s="7">
        <v>138</v>
      </c>
      <c r="BH15" s="7">
        <v>15000</v>
      </c>
      <c r="BI15" s="7">
        <v>2.1</v>
      </c>
    </row>
    <row r="16" spans="1:61" x14ac:dyDescent="0.35">
      <c r="A16">
        <v>2024</v>
      </c>
      <c r="B16" t="s">
        <v>22</v>
      </c>
      <c r="C16" t="s">
        <v>12</v>
      </c>
      <c r="D16" s="1" t="d">
        <v>2024-10-30</v>
      </c>
      <c r="E16" s="11">
        <f>Table1[[#This Row],[year]]-YEAR(Table1[[#This Row],[launch_date]])</f>
        <v>0</v>
      </c>
      <c r="F16">
        <v>192</v>
      </c>
      <c r="G16">
        <f>SKEW(Table1[memory_gb])</f>
        <v>4.4615286901097004</v>
      </c>
      <c r="H16">
        <f>LN(1+Table1[[#This Row],[memory_gb]])</f>
        <v>5.2626901889048856</v>
      </c>
      <c r="I16">
        <f>SKEW(Table1[log(memory_gb)])</f>
        <v>-0.12349734745152563</v>
      </c>
      <c r="J16">
        <v>2250</v>
      </c>
      <c r="K16" cm="1">
        <f t="array" ref="K16">SKEW(Table1[fp16_tflops])</f>
        <v>3.0570434318989719</v>
      </c>
      <c r="L16">
        <f>LN(1+Table1[[#This Row],[fp16_tflops]])</f>
        <v>7.7191298409067324</v>
      </c>
      <c r="M16">
        <f t="shared" si="0"/>
        <v>0.19582220619814761</v>
      </c>
      <c r="N16">
        <v>1000</v>
      </c>
      <c r="O16" cm="1">
        <f t="array" ref="O16">SKEW(Table1[tdp_watts])</f>
        <v>6.0149845187563606</v>
      </c>
      <c r="P16">
        <f>LN(1+Table1[[#This Row],[tdp_watts]])</f>
        <v>6.9087547793152204</v>
      </c>
      <c r="Q16" s="10">
        <f>(Table1[[#This Row],[fp16_tflops]]/Table1[[#This Row],[tdp_watts]])</f>
        <v>2.25</v>
      </c>
      <c r="R16">
        <f>SKEW(Table1[log(tdp_watts)])</f>
        <v>1.0730603511378074</v>
      </c>
      <c r="S16">
        <v>5165</v>
      </c>
      <c r="T16">
        <f>SKEW(Table1[estimated_shipments_units])</f>
        <v>5.1829756087773573</v>
      </c>
      <c r="U16">
        <f>LN(1+Table1[[#This Row],[estimated_shipments_units]])</f>
        <v>8.5498539736557859</v>
      </c>
      <c r="V16">
        <f t="shared" si="1"/>
        <v>-0.19295111700601339</v>
      </c>
      <c r="W16">
        <v>35000</v>
      </c>
      <c r="X16">
        <f>SKEW(Table1[estimated_asp_usd])</f>
        <v>6.1553602568167474</v>
      </c>
      <c r="Y16">
        <f>LN(1+Table1[[#This Row],[estimated_asp_usd]])</f>
        <v>10.463131911491967</v>
      </c>
      <c r="Z16">
        <f>SKEW(Table1[log(estimated_asp_usd)])</f>
        <v>-2.8993473795412101</v>
      </c>
      <c r="AA16">
        <v>180.8</v>
      </c>
      <c r="AB16">
        <f>SKEW(Table1[estimated_revenue_usd_m])</f>
        <v>5.8862244869270315</v>
      </c>
      <c r="AC16">
        <f>LN(1+Table1[[#This Row],[estimated_revenue_usd_m]])</f>
        <v>5.2029071817433783</v>
      </c>
      <c r="AD16">
        <f>SKEW(Table1[log(estimated_revenue_usd)])</f>
        <v>0.29428154884363278</v>
      </c>
      <c r="AE16" t="s">
        <v>35</v>
      </c>
      <c r="AG16" t="str">
        <v>SambaNova</v>
      </c>
      <c r="AH16">
        <f t="shared" si="2"/>
        <v>4</v>
      </c>
      <c r="BD16" s="6">
        <v>288</v>
      </c>
      <c r="BE16" s="6">
        <v>1850</v>
      </c>
      <c r="BF16" s="6">
        <v>1000</v>
      </c>
      <c r="BG16" s="6">
        <v>1393</v>
      </c>
      <c r="BH16" s="6">
        <v>15000</v>
      </c>
      <c r="BI16" s="6">
        <v>20.9</v>
      </c>
    </row>
    <row r="17" spans="1:61" x14ac:dyDescent="0.35">
      <c r="A17">
        <v>2025</v>
      </c>
      <c r="B17" t="s">
        <v>22</v>
      </c>
      <c r="C17" t="s">
        <v>12</v>
      </c>
      <c r="D17" s="1" t="d">
        <v>2024-10-30</v>
      </c>
      <c r="E17" s="11">
        <f>Table1[[#This Row],[year]]-YEAR(Table1[[#This Row],[launch_date]])</f>
        <v>1</v>
      </c>
      <c r="F17">
        <v>192</v>
      </c>
      <c r="G17">
        <f>SKEW(Table1[memory_gb])</f>
        <v>4.4615286901097004</v>
      </c>
      <c r="H17">
        <f>LN(1+Table1[[#This Row],[memory_gb]])</f>
        <v>5.2626901889048856</v>
      </c>
      <c r="I17">
        <f>SKEW(Table1[log(memory_gb)])</f>
        <v>-0.12349734745152563</v>
      </c>
      <c r="J17">
        <v>2250</v>
      </c>
      <c r="K17" cm="1">
        <f t="array" ref="K17">SKEW(Table1[fp16_tflops])</f>
        <v>3.0570434318989719</v>
      </c>
      <c r="L17">
        <f>LN(1+Table1[[#This Row],[fp16_tflops]])</f>
        <v>7.7191298409067324</v>
      </c>
      <c r="M17">
        <f t="shared" si="0"/>
        <v>0.20270529427556255</v>
      </c>
      <c r="N17">
        <v>1000</v>
      </c>
      <c r="O17" cm="1">
        <f t="array" ref="O17">SKEW(Table1[tdp_watts])</f>
        <v>6.0149845187563606</v>
      </c>
      <c r="P17">
        <f>LN(1+Table1[[#This Row],[tdp_watts]])</f>
        <v>6.9087547793152204</v>
      </c>
      <c r="Q17" s="10">
        <f>(Table1[[#This Row],[fp16_tflops]]/Table1[[#This Row],[tdp_watts]])</f>
        <v>2.25</v>
      </c>
      <c r="R17">
        <f>SKEW(Table1[log(tdp_watts)])</f>
        <v>1.0730603511378074</v>
      </c>
      <c r="S17">
        <v>126650</v>
      </c>
      <c r="T17">
        <f>SKEW(Table1[estimated_shipments_units])</f>
        <v>5.1829756087773573</v>
      </c>
      <c r="U17">
        <f>LN(1+Table1[[#This Row],[estimated_shipments_units]])</f>
        <v>11.74919055117441</v>
      </c>
      <c r="V17">
        <f t="shared" si="1"/>
        <v>-0.1910393142786441</v>
      </c>
      <c r="W17">
        <v>35000</v>
      </c>
      <c r="X17">
        <f>SKEW(Table1[estimated_asp_usd])</f>
        <v>6.1553602568167474</v>
      </c>
      <c r="Y17">
        <f>LN(1+Table1[[#This Row],[estimated_asp_usd]])</f>
        <v>10.463131911491967</v>
      </c>
      <c r="Z17">
        <f>SKEW(Table1[log(estimated_asp_usd)])</f>
        <v>-2.8993473795412101</v>
      </c>
      <c r="AA17">
        <v>4432.8</v>
      </c>
      <c r="AB17">
        <f>SKEW(Table1[estimated_revenue_usd_m])</f>
        <v>5.8862244869270315</v>
      </c>
      <c r="AC17">
        <f>LN(1+Table1[[#This Row],[estimated_revenue_usd_m]])</f>
        <v>8.397012283159853</v>
      </c>
      <c r="AD17">
        <f>SKEW(Table1[log(estimated_revenue_usd)])</f>
        <v>0.29428154884363278</v>
      </c>
      <c r="AE17" t="s">
        <v>35</v>
      </c>
      <c r="AG17" t="str">
        <v>AWS</v>
      </c>
      <c r="AH17">
        <f t="shared" si="2"/>
        <v>8</v>
      </c>
      <c r="BD17" s="7">
        <v>16</v>
      </c>
      <c r="BE17" s="7">
        <v>38</v>
      </c>
      <c r="BF17" s="7">
        <v>23</v>
      </c>
      <c r="BG17" s="7">
        <v>174</v>
      </c>
      <c r="BH17" s="7">
        <v>15000</v>
      </c>
      <c r="BI17" s="7">
        <v>2.6</v>
      </c>
    </row>
    <row r="18" spans="1:61" x14ac:dyDescent="0.35">
      <c r="A18">
        <v>2026</v>
      </c>
      <c r="B18" t="s">
        <v>22</v>
      </c>
      <c r="C18" t="s">
        <v>12</v>
      </c>
      <c r="D18" s="1" t="d">
        <v>2024-10-30</v>
      </c>
      <c r="E18" s="11">
        <f>Table1[[#This Row],[year]]-YEAR(Table1[[#This Row],[launch_date]])</f>
        <v>2</v>
      </c>
      <c r="F18">
        <v>192</v>
      </c>
      <c r="G18">
        <f>SKEW(Table1[memory_gb])</f>
        <v>4.4615286901097004</v>
      </c>
      <c r="H18">
        <f>LN(1+Table1[[#This Row],[memory_gb]])</f>
        <v>5.2626901889048856</v>
      </c>
      <c r="I18">
        <f>SKEW(Table1[log(memory_gb)])</f>
        <v>-0.12349734745152563</v>
      </c>
      <c r="J18">
        <v>2250</v>
      </c>
      <c r="K18" cm="1">
        <f t="array" ref="K18">SKEW(Table1[fp16_tflops])</f>
        <v>3.0570434318989719</v>
      </c>
      <c r="L18">
        <f>LN(1+Table1[[#This Row],[fp16_tflops]])</f>
        <v>7.7191298409067324</v>
      </c>
      <c r="M18">
        <f t="shared" si="0"/>
        <v>0.20813188809465402</v>
      </c>
      <c r="N18">
        <v>1000</v>
      </c>
      <c r="O18" cm="1">
        <f t="array" ref="O18">SKEW(Table1[tdp_watts])</f>
        <v>6.0149845187563606</v>
      </c>
      <c r="P18">
        <f>LN(1+Table1[[#This Row],[tdp_watts]])</f>
        <v>6.9087547793152204</v>
      </c>
      <c r="Q18" s="10">
        <f>(Table1[[#This Row],[fp16_tflops]]/Table1[[#This Row],[tdp_watts]])</f>
        <v>2.25</v>
      </c>
      <c r="R18">
        <f>SKEW(Table1[log(tdp_watts)])</f>
        <v>1.0730603511378074</v>
      </c>
      <c r="S18">
        <v>86084</v>
      </c>
      <c r="T18">
        <f>SKEW(Table1[estimated_shipments_units])</f>
        <v>5.1829756087773573</v>
      </c>
      <c r="U18">
        <f>LN(1+Table1[[#This Row],[estimated_shipments_units]])</f>
        <v>11.363090459210573</v>
      </c>
      <c r="V18">
        <f t="shared" si="1"/>
        <v>-0.17344823168264317</v>
      </c>
      <c r="W18">
        <v>35000</v>
      </c>
      <c r="X18">
        <f>SKEW(Table1[estimated_asp_usd])</f>
        <v>6.1553602568167474</v>
      </c>
      <c r="Y18">
        <f>LN(1+Table1[[#This Row],[estimated_asp_usd]])</f>
        <v>10.463131911491967</v>
      </c>
      <c r="Z18">
        <f>SKEW(Table1[log(estimated_asp_usd)])</f>
        <v>-2.8993473795412101</v>
      </c>
      <c r="AA18">
        <v>3012.9</v>
      </c>
      <c r="AB18">
        <f>SKEW(Table1[estimated_revenue_usd_m])</f>
        <v>5.8862244869270315</v>
      </c>
      <c r="AC18">
        <f>LN(1+Table1[[#This Row],[estimated_revenue_usd_m]])</f>
        <v>8.0109902001356907</v>
      </c>
      <c r="AD18">
        <f>SKEW(Table1[log(estimated_revenue_usd)])</f>
        <v>0.29428154884363278</v>
      </c>
      <c r="AE18" t="s">
        <v>35</v>
      </c>
      <c r="AG18" t="str">
        <v>Cambricon</v>
      </c>
      <c r="AH18">
        <f t="shared" si="2"/>
        <v>6</v>
      </c>
      <c r="BD18" s="6">
        <v>16</v>
      </c>
      <c r="BE18" s="6">
        <v>38</v>
      </c>
      <c r="BF18" s="6">
        <v>23</v>
      </c>
      <c r="BG18" s="6">
        <v>1082</v>
      </c>
      <c r="BH18" s="6">
        <v>15000</v>
      </c>
      <c r="BI18" s="6">
        <v>16.2</v>
      </c>
    </row>
    <row r="19" spans="1:61" x14ac:dyDescent="0.35">
      <c r="A19">
        <v>2025</v>
      </c>
      <c r="B19" t="s">
        <v>53</v>
      </c>
      <c r="C19" t="s">
        <v>81</v>
      </c>
      <c r="D19" s="1" t="d">
        <v>2025-10-30</v>
      </c>
      <c r="E19" s="11">
        <f>Table1[[#This Row],[year]]-YEAR(Table1[[#This Row],[launch_date]])</f>
        <v>0</v>
      </c>
      <c r="F19">
        <v>16</v>
      </c>
      <c r="G19">
        <f>SKEW(Table1[memory_gb])</f>
        <v>4.4615286901097004</v>
      </c>
      <c r="H19">
        <f>LN(1+Table1[[#This Row],[memory_gb]])</f>
        <v>2.8332133440562162</v>
      </c>
      <c r="I19">
        <f>SKEW(Table1[log(memory_gb)])</f>
        <v>-0.12349734745152563</v>
      </c>
      <c r="J19">
        <v>60</v>
      </c>
      <c r="K19" cm="1">
        <f t="array" ref="K19">SKEW(Table1[fp16_tflops])</f>
        <v>3.0570434318989719</v>
      </c>
      <c r="L19">
        <f>LN(1+Table1[[#This Row],[fp16_tflops]])</f>
        <v>4.1108738641733114</v>
      </c>
      <c r="M19">
        <f t="shared" si="0"/>
        <v>0.21178730049363101</v>
      </c>
      <c r="N19">
        <v>28</v>
      </c>
      <c r="O19" cm="1">
        <f t="array" ref="O19">SKEW(Table1[tdp_watts])</f>
        <v>6.0149845187563606</v>
      </c>
      <c r="P19">
        <f>LN(1+Table1[[#This Row],[tdp_watts]])</f>
        <v>3.3672958299864741</v>
      </c>
      <c r="Q19" s="10">
        <f>(Table1[[#This Row],[fp16_tflops]]/Table1[[#This Row],[tdp_watts]])</f>
        <v>2.1428571428571428</v>
      </c>
      <c r="R19">
        <f>SKEW(Table1[log(tdp_watts)])</f>
        <v>1.0730603511378074</v>
      </c>
      <c r="S19">
        <v>47</v>
      </c>
      <c r="T19">
        <f>SKEW(Table1[estimated_shipments_units])</f>
        <v>5.1829756087773573</v>
      </c>
      <c r="U19">
        <f>LN(1+Table1[[#This Row],[estimated_shipments_units]])</f>
        <v>3.8712010109078911</v>
      </c>
      <c r="V19">
        <f t="shared" si="1"/>
        <v>-0.15527953890245663</v>
      </c>
      <c r="W19">
        <v>15000</v>
      </c>
      <c r="X19">
        <f>SKEW(Table1[estimated_asp_usd])</f>
        <v>6.1553602568167474</v>
      </c>
      <c r="Y19">
        <f>LN(1+Table1[[#This Row],[estimated_asp_usd]])</f>
        <v>9.6158721445288897</v>
      </c>
      <c r="Z19">
        <f>SKEW(Table1[log(estimated_asp_usd)])</f>
        <v>-2.8993473795412101</v>
      </c>
      <c r="AA19">
        <v>0.7</v>
      </c>
      <c r="AB19">
        <f>SKEW(Table1[estimated_revenue_usd_m])</f>
        <v>5.8862244869270315</v>
      </c>
      <c r="AC19">
        <f>LN(1+Table1[[#This Row],[estimated_revenue_usd_m]])</f>
        <v>0.53062825106217038</v>
      </c>
      <c r="AD19">
        <f>SKEW(Table1[log(estimated_revenue_usd)])</f>
        <v>0.29428154884363278</v>
      </c>
      <c r="AE19" t="s">
        <v>83</v>
      </c>
      <c r="AG19" t="str">
        <v>Cerebras</v>
      </c>
      <c r="AH19">
        <f t="shared" si="2"/>
        <v>3</v>
      </c>
      <c r="BD19" s="7">
        <v>16</v>
      </c>
      <c r="BE19" s="7">
        <v>38</v>
      </c>
      <c r="BF19" s="7">
        <v>23</v>
      </c>
      <c r="BG19" s="7">
        <v>776</v>
      </c>
      <c r="BH19" s="7">
        <v>15000</v>
      </c>
      <c r="BI19" s="7">
        <v>11.6</v>
      </c>
    </row>
    <row r="20" spans="1:61" x14ac:dyDescent="0.35">
      <c r="A20">
        <v>2026</v>
      </c>
      <c r="B20" t="s">
        <v>53</v>
      </c>
      <c r="C20" t="s">
        <v>81</v>
      </c>
      <c r="D20" s="1" t="d">
        <v>2025-10-30</v>
      </c>
      <c r="E20" s="11">
        <f>Table1[[#This Row],[year]]-YEAR(Table1[[#This Row],[launch_date]])</f>
        <v>1</v>
      </c>
      <c r="F20">
        <v>16</v>
      </c>
      <c r="G20">
        <f>SKEW(Table1[memory_gb])</f>
        <v>4.4615286901097004</v>
      </c>
      <c r="H20">
        <f>LN(1+Table1[[#This Row],[memory_gb]])</f>
        <v>2.8332133440562162</v>
      </c>
      <c r="I20">
        <f>SKEW(Table1[log(memory_gb)])</f>
        <v>-0.12349734745152563</v>
      </c>
      <c r="J20">
        <v>60</v>
      </c>
      <c r="K20" cm="1">
        <f t="array" ref="K20">SKEW(Table1[fp16_tflops])</f>
        <v>3.0570434318989719</v>
      </c>
      <c r="L20">
        <f>LN(1+Table1[[#This Row],[fp16_tflops]])</f>
        <v>4.1108738641733114</v>
      </c>
      <c r="M20">
        <f t="shared" si="0"/>
        <v>0.22759737708776787</v>
      </c>
      <c r="N20">
        <v>28</v>
      </c>
      <c r="O20" cm="1">
        <f t="array" ref="O20">SKEW(Table1[tdp_watts])</f>
        <v>6.0149845187563606</v>
      </c>
      <c r="P20">
        <f>LN(1+Table1[[#This Row],[tdp_watts]])</f>
        <v>3.3672958299864741</v>
      </c>
      <c r="Q20" s="10">
        <f>(Table1[[#This Row],[fp16_tflops]]/Table1[[#This Row],[tdp_watts]])</f>
        <v>2.1428571428571428</v>
      </c>
      <c r="R20">
        <f>SKEW(Table1[log(tdp_watts)])</f>
        <v>1.0730603511378074</v>
      </c>
      <c r="S20">
        <v>809</v>
      </c>
      <c r="T20">
        <f>SKEW(Table1[estimated_shipments_units])</f>
        <v>5.1829756087773573</v>
      </c>
      <c r="U20">
        <f>LN(1+Table1[[#This Row],[estimated_shipments_units]])</f>
        <v>6.6970342476664841</v>
      </c>
      <c r="V20">
        <f t="shared" si="1"/>
        <v>-0.17421430234067795</v>
      </c>
      <c r="W20">
        <v>15000</v>
      </c>
      <c r="X20">
        <f>SKEW(Table1[estimated_asp_usd])</f>
        <v>6.1553602568167474</v>
      </c>
      <c r="Y20">
        <f>LN(1+Table1[[#This Row],[estimated_asp_usd]])</f>
        <v>9.6158721445288897</v>
      </c>
      <c r="Z20">
        <f>SKEW(Table1[log(estimated_asp_usd)])</f>
        <v>-2.8993473795412101</v>
      </c>
      <c r="AA20">
        <v>12.1</v>
      </c>
      <c r="AB20">
        <f>SKEW(Table1[estimated_revenue_usd_m])</f>
        <v>5.8862244869270315</v>
      </c>
      <c r="AC20">
        <f>LN(1+Table1[[#This Row],[estimated_revenue_usd_m]])</f>
        <v>2.5726122302071057</v>
      </c>
      <c r="AD20">
        <f>SKEW(Table1[log(estimated_revenue_usd)])</f>
        <v>0.29428154884363278</v>
      </c>
      <c r="AE20" t="s">
        <v>83</v>
      </c>
      <c r="BD20" s="6">
        <v>16</v>
      </c>
      <c r="BE20" s="6">
        <v>60</v>
      </c>
      <c r="BF20" s="6">
        <v>28</v>
      </c>
      <c r="BG20" s="6">
        <v>47</v>
      </c>
      <c r="BH20" s="6">
        <v>15000</v>
      </c>
      <c r="BI20" s="6">
        <v>0.7</v>
      </c>
    </row>
    <row r="21" spans="1:61" x14ac:dyDescent="0.35">
      <c r="A21">
        <v>2024</v>
      </c>
      <c r="B21" t="s">
        <v>42</v>
      </c>
      <c r="C21" t="s">
        <v>69</v>
      </c>
      <c r="D21" s="1" t="d">
        <v>2024-02-19</v>
      </c>
      <c r="E21" s="11">
        <f>Table1[[#This Row],[year]]-YEAR(Table1[[#This Row],[launch_date]])</f>
        <v>0</v>
      </c>
      <c r="F21">
        <v>230</v>
      </c>
      <c r="G21">
        <f>SKEW(Table1[memory_gb])</f>
        <v>4.4615286901097004</v>
      </c>
      <c r="H21">
        <f>LN(1+Table1[[#This Row],[memory_gb]])</f>
        <v>5.4424177105217932</v>
      </c>
      <c r="I21">
        <f>SKEW(Table1[log(memory_gb)])</f>
        <v>-0.12349734745152563</v>
      </c>
      <c r="J21">
        <v>750</v>
      </c>
      <c r="K21" cm="1">
        <f t="array" ref="K21">SKEW(Table1[fp16_tflops])</f>
        <v>3.0570434318989719</v>
      </c>
      <c r="L21">
        <f>LN(1+Table1[[#This Row],[fp16_tflops]])</f>
        <v>6.6214056517641344</v>
      </c>
      <c r="M21">
        <f t="shared" si="0"/>
        <v>0.24777379684973658</v>
      </c>
      <c r="N21">
        <v>350</v>
      </c>
      <c r="O21" cm="1">
        <f t="array" ref="O21">SKEW(Table1[tdp_watts])</f>
        <v>6.0149845187563606</v>
      </c>
      <c r="P21">
        <f>LN(1+Table1[[#This Row],[tdp_watts]])</f>
        <v>5.8607862234658654</v>
      </c>
      <c r="Q21" s="10">
        <f>(Table1[[#This Row],[fp16_tflops]]/Table1[[#This Row],[tdp_watts]])</f>
        <v>2.1428571428571428</v>
      </c>
      <c r="R21">
        <f>SKEW(Table1[log(tdp_watts)])</f>
        <v>1.0730603511378074</v>
      </c>
      <c r="S21">
        <v>8709</v>
      </c>
      <c r="T21">
        <f>SKEW(Table1[estimated_shipments_units])</f>
        <v>5.1829756087773573</v>
      </c>
      <c r="U21">
        <f>LN(1+Table1[[#This Row],[estimated_shipments_units]])</f>
        <v>9.0722270698465479</v>
      </c>
      <c r="V21">
        <f t="shared" si="1"/>
        <v>-0.18837049834910891</v>
      </c>
      <c r="W21">
        <v>15000</v>
      </c>
      <c r="X21">
        <f>SKEW(Table1[estimated_asp_usd])</f>
        <v>6.1553602568167474</v>
      </c>
      <c r="Y21">
        <f>LN(1+Table1[[#This Row],[estimated_asp_usd]])</f>
        <v>9.6158721445288897</v>
      </c>
      <c r="Z21">
        <f>SKEW(Table1[log(estimated_asp_usd)])</f>
        <v>-2.8993473795412101</v>
      </c>
      <c r="AA21">
        <v>130.6</v>
      </c>
      <c r="AB21">
        <f>SKEW(Table1[estimated_revenue_usd_m])</f>
        <v>5.8862244869270315</v>
      </c>
      <c r="AC21">
        <f>LN(1+Table1[[#This Row],[estimated_revenue_usd_m]])</f>
        <v>4.8797670188912168</v>
      </c>
      <c r="AD21">
        <f>SKEW(Table1[log(estimated_revenue_usd)])</f>
        <v>0.29428154884363278</v>
      </c>
      <c r="AE21" t="s">
        <v>70</v>
      </c>
      <c r="BD21" s="7">
        <v>16</v>
      </c>
      <c r="BE21" s="7">
        <v>60</v>
      </c>
      <c r="BF21" s="7">
        <v>28</v>
      </c>
      <c r="BG21" s="7">
        <v>809</v>
      </c>
      <c r="BH21" s="7">
        <v>15000</v>
      </c>
      <c r="BI21" s="7">
        <v>12.1</v>
      </c>
    </row>
    <row r="22" spans="1:61" x14ac:dyDescent="0.35">
      <c r="A22">
        <v>2025</v>
      </c>
      <c r="B22" t="s">
        <v>42</v>
      </c>
      <c r="C22" t="s">
        <v>69</v>
      </c>
      <c r="D22" s="1" t="d">
        <v>2024-02-19</v>
      </c>
      <c r="E22" s="11">
        <f>Table1[[#This Row],[year]]-YEAR(Table1[[#This Row],[launch_date]])</f>
        <v>1</v>
      </c>
      <c r="F22">
        <v>230</v>
      </c>
      <c r="G22">
        <f>SKEW(Table1[memory_gb])</f>
        <v>4.4615286901097004</v>
      </c>
      <c r="H22">
        <f>LN(1+Table1[[#This Row],[memory_gb]])</f>
        <v>5.4424177105217932</v>
      </c>
      <c r="I22">
        <f>SKEW(Table1[log(memory_gb)])</f>
        <v>-0.12349734745152563</v>
      </c>
      <c r="J22">
        <v>750</v>
      </c>
      <c r="K22" cm="1">
        <f t="array" ref="K22">SKEW(Table1[fp16_tflops])</f>
        <v>3.0570434318989719</v>
      </c>
      <c r="L22">
        <f>LN(1+Table1[[#This Row],[fp16_tflops]])</f>
        <v>6.6214056517641344</v>
      </c>
      <c r="M22">
        <f t="shared" si="0"/>
        <v>0.26639688413597679</v>
      </c>
      <c r="N22">
        <v>350</v>
      </c>
      <c r="O22" cm="1">
        <f t="array" ref="O22">SKEW(Table1[tdp_watts])</f>
        <v>6.0149845187563606</v>
      </c>
      <c r="P22">
        <f>LN(1+Table1[[#This Row],[tdp_watts]])</f>
        <v>5.8607862234658654</v>
      </c>
      <c r="Q22" s="10">
        <f>(Table1[[#This Row],[fp16_tflops]]/Table1[[#This Row],[tdp_watts]])</f>
        <v>2.1428571428571428</v>
      </c>
      <c r="R22">
        <f>SKEW(Table1[log(tdp_watts)])</f>
        <v>1.0730603511378074</v>
      </c>
      <c r="S22">
        <v>25845</v>
      </c>
      <c r="T22">
        <f>SKEW(Table1[estimated_shipments_units])</f>
        <v>5.1829756087773573</v>
      </c>
      <c r="U22">
        <f>LN(1+Table1[[#This Row],[estimated_shipments_units]])</f>
        <v>10.159911129085136</v>
      </c>
      <c r="V22">
        <f t="shared" si="1"/>
        <v>-0.18176090935183314</v>
      </c>
      <c r="W22">
        <v>15000</v>
      </c>
      <c r="X22">
        <f>SKEW(Table1[estimated_asp_usd])</f>
        <v>6.1553602568167474</v>
      </c>
      <c r="Y22">
        <f>LN(1+Table1[[#This Row],[estimated_asp_usd]])</f>
        <v>9.6158721445288897</v>
      </c>
      <c r="Z22">
        <f>SKEW(Table1[log(estimated_asp_usd)])</f>
        <v>-2.8993473795412101</v>
      </c>
      <c r="AA22">
        <v>387.7</v>
      </c>
      <c r="AB22">
        <f>SKEW(Table1[estimated_revenue_usd_m])</f>
        <v>5.8862244869270315</v>
      </c>
      <c r="AC22">
        <f>LN(1+Table1[[#This Row],[estimated_revenue_usd_m]])</f>
        <v>5.9628078378581773</v>
      </c>
      <c r="AD22">
        <f>SKEW(Table1[log(estimated_revenue_usd)])</f>
        <v>0.29428154884363278</v>
      </c>
      <c r="AE22" t="s">
        <v>70</v>
      </c>
      <c r="BD22" s="6">
        <v>96</v>
      </c>
      <c r="BE22" s="6">
        <v>650</v>
      </c>
      <c r="BF22" s="6">
        <v>500</v>
      </c>
      <c r="BG22" s="6">
        <v>0</v>
      </c>
      <c r="BH22" s="6">
        <v>15000</v>
      </c>
      <c r="BI22" s="6">
        <v>0</v>
      </c>
    </row>
    <row r="23" spans="1:61" x14ac:dyDescent="0.35">
      <c r="A23">
        <v>2026</v>
      </c>
      <c r="B23" t="s">
        <v>42</v>
      </c>
      <c r="C23" t="s">
        <v>69</v>
      </c>
      <c r="D23" s="1" t="d">
        <v>2024-02-19</v>
      </c>
      <c r="E23" s="11">
        <f>Table1[[#This Row],[year]]-YEAR(Table1[[#This Row],[launch_date]])</f>
        <v>2</v>
      </c>
      <c r="F23">
        <v>230</v>
      </c>
      <c r="G23">
        <f>SKEW(Table1[memory_gb])</f>
        <v>4.4615286901097004</v>
      </c>
      <c r="H23">
        <f>LN(1+Table1[[#This Row],[memory_gb]])</f>
        <v>5.4424177105217932</v>
      </c>
      <c r="I23">
        <f>SKEW(Table1[log(memory_gb)])</f>
        <v>-0.12349734745152563</v>
      </c>
      <c r="J23">
        <v>750</v>
      </c>
      <c r="K23" cm="1">
        <f t="array" ref="K23">SKEW(Table1[fp16_tflops])</f>
        <v>3.0570434318989719</v>
      </c>
      <c r="L23">
        <f>LN(1+Table1[[#This Row],[fp16_tflops]])</f>
        <v>6.6214056517641344</v>
      </c>
      <c r="M23">
        <f t="shared" si="0"/>
        <v>0.28537509829206514</v>
      </c>
      <c r="N23">
        <v>350</v>
      </c>
      <c r="O23" cm="1">
        <f t="array" ref="O23">SKEW(Table1[tdp_watts])</f>
        <v>6.0149845187563606</v>
      </c>
      <c r="P23">
        <f>LN(1+Table1[[#This Row],[tdp_watts]])</f>
        <v>5.8607862234658654</v>
      </c>
      <c r="Q23" s="10">
        <f>(Table1[[#This Row],[fp16_tflops]]/Table1[[#This Row],[tdp_watts]])</f>
        <v>2.1428571428571428</v>
      </c>
      <c r="R23">
        <f>SKEW(Table1[log(tdp_watts)])</f>
        <v>1.0730603511378074</v>
      </c>
      <c r="S23">
        <v>25084</v>
      </c>
      <c r="T23">
        <f>SKEW(Table1[estimated_shipments_units])</f>
        <v>5.1829756087773573</v>
      </c>
      <c r="U23">
        <f>LN(1+Table1[[#This Row],[estimated_shipments_units]])</f>
        <v>10.130025336918353</v>
      </c>
      <c r="V23">
        <f t="shared" si="1"/>
        <v>-0.16704384493187843</v>
      </c>
      <c r="W23">
        <v>15000</v>
      </c>
      <c r="X23">
        <f>SKEW(Table1[estimated_asp_usd])</f>
        <v>6.1553602568167474</v>
      </c>
      <c r="Y23">
        <f>LN(1+Table1[[#This Row],[estimated_asp_usd]])</f>
        <v>9.6158721445288897</v>
      </c>
      <c r="Z23">
        <f>SKEW(Table1[log(estimated_asp_usd)])</f>
        <v>-2.8993473795412101</v>
      </c>
      <c r="AA23">
        <v>376.3</v>
      </c>
      <c r="AB23">
        <f>SKEW(Table1[estimated_revenue_usd_m])</f>
        <v>5.8862244869270315</v>
      </c>
      <c r="AC23">
        <f>LN(1+Table1[[#This Row],[estimated_revenue_usd_m]])</f>
        <v>5.9330406269702651</v>
      </c>
      <c r="AD23">
        <f>SKEW(Table1[log(estimated_revenue_usd)])</f>
        <v>0.29428154884363278</v>
      </c>
      <c r="AE23" t="s">
        <v>70</v>
      </c>
      <c r="AV23" s="4"/>
      <c r="BD23" s="7">
        <v>96</v>
      </c>
      <c r="BE23" s="7">
        <v>650</v>
      </c>
      <c r="BF23" s="7">
        <v>500</v>
      </c>
      <c r="BG23" s="7">
        <v>67686</v>
      </c>
      <c r="BH23" s="7">
        <v>15000</v>
      </c>
      <c r="BI23" s="7">
        <v>1015.3</v>
      </c>
    </row>
    <row r="24" spans="1:61" x14ac:dyDescent="0.35">
      <c r="A24">
        <v>2024</v>
      </c>
      <c r="B24" t="s">
        <v>23</v>
      </c>
      <c r="C24" t="s">
        <v>12</v>
      </c>
      <c r="D24" s="1" t="d">
        <v>2024-10-30</v>
      </c>
      <c r="E24" s="11">
        <f>Table1[[#This Row],[year]]-YEAR(Table1[[#This Row],[launch_date]])</f>
        <v>0</v>
      </c>
      <c r="F24">
        <v>384</v>
      </c>
      <c r="G24">
        <f>SKEW(Table1[memory_gb])</f>
        <v>4.4615286901097004</v>
      </c>
      <c r="H24">
        <f>LN(1+Table1[[#This Row],[memory_gb]])</f>
        <v>5.9532433342877846</v>
      </c>
      <c r="I24">
        <f>SKEW(Table1[log(memory_gb)])</f>
        <v>-0.12349734745152563</v>
      </c>
      <c r="J24">
        <v>5000</v>
      </c>
      <c r="K24" cm="1">
        <f t="array" ref="K24">SKEW(Table1[fp16_tflops])</f>
        <v>3.0570434318989719</v>
      </c>
      <c r="L24">
        <f>LN(1+Table1[[#This Row],[fp16_tflops]])</f>
        <v>8.5173931714189042</v>
      </c>
      <c r="M24">
        <f t="shared" si="0"/>
        <v>0.30472292925511113</v>
      </c>
      <c r="N24">
        <v>2700</v>
      </c>
      <c r="O24" cm="1">
        <f t="array" ref="O24">SKEW(Table1[tdp_watts])</f>
        <v>6.0149845187563606</v>
      </c>
      <c r="P24">
        <f>LN(1+Table1[[#This Row],[tdp_watts]])</f>
        <v>7.9013773537926157</v>
      </c>
      <c r="Q24" s="10">
        <f>(Table1[[#This Row],[fp16_tflops]]/Table1[[#This Row],[tdp_watts]])</f>
        <v>1.8518518518518519</v>
      </c>
      <c r="R24">
        <f>SKEW(Table1[log(tdp_watts)])</f>
        <v>1.0730603511378074</v>
      </c>
      <c r="S24">
        <v>2564</v>
      </c>
      <c r="T24">
        <f>SKEW(Table1[estimated_shipments_units])</f>
        <v>5.1829756087773573</v>
      </c>
      <c r="U24">
        <f>LN(1+Table1[[#This Row],[estimated_shipments_units]])</f>
        <v>7.8497137576048699</v>
      </c>
      <c r="V24">
        <f t="shared" si="1"/>
        <v>-0.15229833040660598</v>
      </c>
      <c r="W24">
        <v>65000</v>
      </c>
      <c r="X24">
        <f>SKEW(Table1[estimated_asp_usd])</f>
        <v>6.1553602568167474</v>
      </c>
      <c r="Y24">
        <f>LN(1+Table1[[#This Row],[estimated_asp_usd]])</f>
        <v>11.082157933374816</v>
      </c>
      <c r="Z24">
        <f>SKEW(Table1[log(estimated_asp_usd)])</f>
        <v>-2.8993473795412101</v>
      </c>
      <c r="AA24">
        <v>166.7</v>
      </c>
      <c r="AB24">
        <f>SKEW(Table1[estimated_revenue_usd_m])</f>
        <v>5.8862244869270315</v>
      </c>
      <c r="AC24">
        <f>LN(1+Table1[[#This Row],[estimated_revenue_usd_m]])</f>
        <v>5.1221766688291632</v>
      </c>
      <c r="AD24">
        <f>SKEW(Table1[log(estimated_revenue_usd)])</f>
        <v>0.29428154884363278</v>
      </c>
      <c r="AE24" t="s">
        <v>39</v>
      </c>
      <c r="BD24" s="6">
        <v>96</v>
      </c>
      <c r="BE24" s="6">
        <v>650</v>
      </c>
      <c r="BF24" s="6">
        <v>500</v>
      </c>
      <c r="BG24" s="6">
        <v>82503</v>
      </c>
      <c r="BH24" s="6">
        <v>15000</v>
      </c>
      <c r="BI24" s="6">
        <v>1237.5</v>
      </c>
    </row>
    <row r="25" spans="1:61" x14ac:dyDescent="0.35">
      <c r="A25">
        <v>2025</v>
      </c>
      <c r="B25" t="s">
        <v>23</v>
      </c>
      <c r="C25" t="s">
        <v>12</v>
      </c>
      <c r="D25" s="1" t="d">
        <v>2024-10-30</v>
      </c>
      <c r="E25" s="11">
        <f>Table1[[#This Row],[year]]-YEAR(Table1[[#This Row],[launch_date]])</f>
        <v>1</v>
      </c>
      <c r="F25">
        <v>384</v>
      </c>
      <c r="G25">
        <f>SKEW(Table1[memory_gb])</f>
        <v>4.4615286901097004</v>
      </c>
      <c r="H25">
        <f>LN(1+Table1[[#This Row],[memory_gb]])</f>
        <v>5.9532433342877846</v>
      </c>
      <c r="I25">
        <f>SKEW(Table1[log(memory_gb)])</f>
        <v>-0.12349734745152563</v>
      </c>
      <c r="J25">
        <v>5000</v>
      </c>
      <c r="K25" cm="1">
        <f t="array" ref="K25">SKEW(Table1[fp16_tflops])</f>
        <v>3.0570434318989719</v>
      </c>
      <c r="L25">
        <f>LN(1+Table1[[#This Row],[fp16_tflops]])</f>
        <v>8.5173931714189042</v>
      </c>
      <c r="M25">
        <f t="shared" si="0"/>
        <v>0.20628563933290395</v>
      </c>
      <c r="N25">
        <v>2700</v>
      </c>
      <c r="O25" cm="1">
        <f t="array" ref="O25">SKEW(Table1[tdp_watts])</f>
        <v>6.0149845187563606</v>
      </c>
      <c r="P25">
        <f>LN(1+Table1[[#This Row],[tdp_watts]])</f>
        <v>7.9013773537926157</v>
      </c>
      <c r="Q25" s="10">
        <f>(Table1[[#This Row],[fp16_tflops]]/Table1[[#This Row],[tdp_watts]])</f>
        <v>1.8518518518518519</v>
      </c>
      <c r="R25">
        <f>SKEW(Table1[log(tdp_watts)])</f>
        <v>1.0730603511378074</v>
      </c>
      <c r="S25">
        <v>45968</v>
      </c>
      <c r="T25">
        <f>SKEW(Table1[estimated_shipments_units])</f>
        <v>5.1829756087773573</v>
      </c>
      <c r="U25">
        <f>LN(1+Table1[[#This Row],[estimated_shipments_units]])</f>
        <v>10.735722535246286</v>
      </c>
      <c r="V25">
        <f t="shared" si="1"/>
        <v>-0.15662289111982011</v>
      </c>
      <c r="W25">
        <v>65000</v>
      </c>
      <c r="X25">
        <f>SKEW(Table1[estimated_asp_usd])</f>
        <v>6.1553602568167474</v>
      </c>
      <c r="Y25">
        <f>LN(1+Table1[[#This Row],[estimated_asp_usd]])</f>
        <v>11.082157933374816</v>
      </c>
      <c r="Z25">
        <f>SKEW(Table1[log(estimated_asp_usd)])</f>
        <v>-2.8993473795412101</v>
      </c>
      <c r="AA25">
        <v>2987.9</v>
      </c>
      <c r="AB25">
        <f>SKEW(Table1[estimated_revenue_usd_m])</f>
        <v>5.8862244869270315</v>
      </c>
      <c r="AC25">
        <f>LN(1+Table1[[#This Row],[estimated_revenue_usd_m]])</f>
        <v>8.0026607057189203</v>
      </c>
      <c r="AD25">
        <f>SKEW(Table1[log(estimated_revenue_usd)])</f>
        <v>0.29428154884363278</v>
      </c>
      <c r="AE25" t="s">
        <v>39</v>
      </c>
      <c r="BD25" s="7">
        <v>32</v>
      </c>
      <c r="BE25" s="7">
        <v>190</v>
      </c>
      <c r="BF25" s="7">
        <v>175</v>
      </c>
      <c r="BG25" s="7">
        <v>0</v>
      </c>
      <c r="BH25" s="7">
        <v>15000</v>
      </c>
      <c r="BI25" s="7">
        <v>0</v>
      </c>
    </row>
    <row r="26" spans="1:61" x14ac:dyDescent="0.35">
      <c r="A26">
        <v>2026</v>
      </c>
      <c r="B26" t="s">
        <v>23</v>
      </c>
      <c r="C26" t="s">
        <v>12</v>
      </c>
      <c r="D26" s="1" t="d">
        <v>2024-10-30</v>
      </c>
      <c r="E26" s="11">
        <f>Table1[[#This Row],[year]]-YEAR(Table1[[#This Row],[launch_date]])</f>
        <v>2</v>
      </c>
      <c r="F26">
        <v>384</v>
      </c>
      <c r="G26">
        <f>SKEW(Table1[memory_gb])</f>
        <v>4.4615286901097004</v>
      </c>
      <c r="H26">
        <f>LN(1+Table1[[#This Row],[memory_gb]])</f>
        <v>5.9532433342877846</v>
      </c>
      <c r="I26">
        <f>SKEW(Table1[log(memory_gb)])</f>
        <v>-0.12349734745152563</v>
      </c>
      <c r="J26">
        <v>5000</v>
      </c>
      <c r="K26" cm="1">
        <f t="array" ref="K26">SKEW(Table1[fp16_tflops])</f>
        <v>3.0570434318989719</v>
      </c>
      <c r="L26">
        <f>LN(1+Table1[[#This Row],[fp16_tflops]])</f>
        <v>8.5173931714189042</v>
      </c>
      <c r="M26">
        <f t="shared" si="0"/>
        <v>6.8065663366058529E-2</v>
      </c>
      <c r="N26">
        <v>2700</v>
      </c>
      <c r="O26" cm="1">
        <f t="array" ref="O26">SKEW(Table1[tdp_watts])</f>
        <v>6.0149845187563606</v>
      </c>
      <c r="P26">
        <f>LN(1+Table1[[#This Row],[tdp_watts]])</f>
        <v>7.9013773537926157</v>
      </c>
      <c r="Q26" s="10">
        <f>(Table1[[#This Row],[fp16_tflops]]/Table1[[#This Row],[tdp_watts]])</f>
        <v>1.8518518518518519</v>
      </c>
      <c r="R26">
        <f>SKEW(Table1[log(tdp_watts)])</f>
        <v>1.0730603511378074</v>
      </c>
      <c r="S26">
        <v>40186</v>
      </c>
      <c r="T26">
        <f>SKEW(Table1[estimated_shipments_units])</f>
        <v>5.1829756087773573</v>
      </c>
      <c r="U26">
        <f>LN(1+Table1[[#This Row],[estimated_shipments_units]])</f>
        <v>10.601298839222951</v>
      </c>
      <c r="V26">
        <f t="shared" si="1"/>
        <v>-0.13851343362121588</v>
      </c>
      <c r="W26">
        <v>65000</v>
      </c>
      <c r="X26">
        <f>SKEW(Table1[estimated_asp_usd])</f>
        <v>6.1553602568167474</v>
      </c>
      <c r="Y26">
        <f>LN(1+Table1[[#This Row],[estimated_asp_usd]])</f>
        <v>11.082157933374816</v>
      </c>
      <c r="Z26">
        <f>SKEW(Table1[log(estimated_asp_usd)])</f>
        <v>-2.8993473795412101</v>
      </c>
      <c r="AA26">
        <v>2612.1</v>
      </c>
      <c r="AB26">
        <f>SKEW(Table1[estimated_revenue_usd_m])</f>
        <v>5.8862244869270315</v>
      </c>
      <c r="AC26">
        <f>LN(1+Table1[[#This Row],[estimated_revenue_usd_m]])</f>
        <v>7.8682925349758515</v>
      </c>
      <c r="AD26">
        <f>SKEW(Table1[log(estimated_revenue_usd)])</f>
        <v>0.29428154884363278</v>
      </c>
      <c r="AE26" t="s">
        <v>39</v>
      </c>
      <c r="AV26" s="4"/>
      <c r="BD26" s="6">
        <v>32</v>
      </c>
      <c r="BE26" s="6">
        <v>190</v>
      </c>
      <c r="BF26" s="6">
        <v>175</v>
      </c>
      <c r="BG26" s="6">
        <v>182522</v>
      </c>
      <c r="BH26" s="6">
        <v>15000</v>
      </c>
      <c r="BI26" s="6">
        <v>2737.8</v>
      </c>
    </row>
    <row r="27" spans="1:61" x14ac:dyDescent="0.35">
      <c r="A27">
        <v>2025</v>
      </c>
      <c r="B27" t="s">
        <v>29</v>
      </c>
      <c r="C27" t="s">
        <v>46</v>
      </c>
      <c r="D27" s="1" t="d">
        <v>2025-06-01</v>
      </c>
      <c r="E27" s="11">
        <f>Table1[[#This Row],[year]]-YEAR(Table1[[#This Row],[launch_date]])</f>
        <v>0</v>
      </c>
      <c r="F27">
        <v>288</v>
      </c>
      <c r="G27">
        <f>SKEW(Table1[memory_gb])</f>
        <v>4.4615286901097004</v>
      </c>
      <c r="H27">
        <f>LN(1+Table1[[#This Row],[memory_gb]])</f>
        <v>5.6664266881124323</v>
      </c>
      <c r="I27">
        <f>SKEW(Table1[log(memory_gb)])</f>
        <v>-0.12349734745152563</v>
      </c>
      <c r="J27">
        <v>1850</v>
      </c>
      <c r="K27" cm="1">
        <f t="array" ref="K27">SKEW(Table1[fp16_tflops])</f>
        <v>3.0570434318989719</v>
      </c>
      <c r="L27">
        <f>LN(1+Table1[[#This Row],[fp16_tflops]])</f>
        <v>7.5234813125734972</v>
      </c>
      <c r="M27">
        <f t="shared" si="0"/>
        <v>-0.12783041269727954</v>
      </c>
      <c r="N27">
        <v>1000</v>
      </c>
      <c r="O27" cm="1">
        <f t="array" ref="O27">SKEW(Table1[tdp_watts])</f>
        <v>6.0149845187563606</v>
      </c>
      <c r="P27">
        <f>LN(1+Table1[[#This Row],[tdp_watts]])</f>
        <v>6.9087547793152204</v>
      </c>
      <c r="Q27" s="10">
        <f>(Table1[[#This Row],[fp16_tflops]]/Table1[[#This Row],[tdp_watts]])</f>
        <v>1.85</v>
      </c>
      <c r="R27">
        <f>SKEW(Table1[log(tdp_watts)])</f>
        <v>1.0730603511378074</v>
      </c>
      <c r="S27">
        <v>138</v>
      </c>
      <c r="T27">
        <f>SKEW(Table1[estimated_shipments_units])</f>
        <v>5.1829756087773573</v>
      </c>
      <c r="U27">
        <f>LN(1+Table1[[#This Row],[estimated_shipments_units]])</f>
        <v>4.9344739331306915</v>
      </c>
      <c r="V27">
        <f t="shared" si="1"/>
        <v>-0.12066005096303103</v>
      </c>
      <c r="W27">
        <v>15000</v>
      </c>
      <c r="X27">
        <f>SKEW(Table1[estimated_asp_usd])</f>
        <v>6.1553602568167474</v>
      </c>
      <c r="Y27">
        <f>LN(1+Table1[[#This Row],[estimated_asp_usd]])</f>
        <v>9.6158721445288897</v>
      </c>
      <c r="Z27">
        <f>SKEW(Table1[log(estimated_asp_usd)])</f>
        <v>-2.8993473795412101</v>
      </c>
      <c r="AA27">
        <v>2.1</v>
      </c>
      <c r="AB27">
        <f>SKEW(Table1[estimated_revenue_usd_m])</f>
        <v>5.8862244869270315</v>
      </c>
      <c r="AC27">
        <f>LN(1+Table1[[#This Row],[estimated_revenue_usd_m]])</f>
        <v>1.1314021114911006</v>
      </c>
      <c r="AD27">
        <f>SKEW(Table1[log(estimated_revenue_usd)])</f>
        <v>0.29428154884363278</v>
      </c>
      <c r="AE27" t="s">
        <v>56</v>
      </c>
      <c r="BD27" s="7">
        <v>32</v>
      </c>
      <c r="BE27" s="7">
        <v>190</v>
      </c>
      <c r="BF27" s="7">
        <v>175</v>
      </c>
      <c r="BG27" s="7">
        <v>111438</v>
      </c>
      <c r="BH27" s="7">
        <v>15000</v>
      </c>
      <c r="BI27" s="7">
        <v>1671.6</v>
      </c>
    </row>
    <row r="28" spans="1:61" x14ac:dyDescent="0.35">
      <c r="A28">
        <v>2026</v>
      </c>
      <c r="B28" t="s">
        <v>29</v>
      </c>
      <c r="C28" t="s">
        <v>46</v>
      </c>
      <c r="D28" s="1" t="d">
        <v>2025-06-01</v>
      </c>
      <c r="E28" s="11">
        <f>Table1[[#This Row],[year]]-YEAR(Table1[[#This Row],[launch_date]])</f>
        <v>1</v>
      </c>
      <c r="F28">
        <v>288</v>
      </c>
      <c r="G28">
        <f>SKEW(Table1[memory_gb])</f>
        <v>4.4615286901097004</v>
      </c>
      <c r="H28">
        <f>LN(1+Table1[[#This Row],[memory_gb]])</f>
        <v>5.6664266881124323</v>
      </c>
      <c r="I28">
        <f>SKEW(Table1[log(memory_gb)])</f>
        <v>-0.12349734745152563</v>
      </c>
      <c r="J28">
        <v>1850</v>
      </c>
      <c r="K28" cm="1">
        <f t="array" ref="K28">SKEW(Table1[fp16_tflops])</f>
        <v>3.0570434318989719</v>
      </c>
      <c r="L28">
        <f>LN(1+Table1[[#This Row],[fp16_tflops]])</f>
        <v>7.5234813125734972</v>
      </c>
      <c r="M28">
        <f t="shared" si="0"/>
        <v>-0.15410344638743873</v>
      </c>
      <c r="N28">
        <v>1000</v>
      </c>
      <c r="O28" cm="1">
        <f t="array" ref="O28">SKEW(Table1[tdp_watts])</f>
        <v>6.0149845187563606</v>
      </c>
      <c r="P28">
        <f>LN(1+Table1[[#This Row],[tdp_watts]])</f>
        <v>6.9087547793152204</v>
      </c>
      <c r="Q28" s="10">
        <f>(Table1[[#This Row],[fp16_tflops]]/Table1[[#This Row],[tdp_watts]])</f>
        <v>1.85</v>
      </c>
      <c r="R28">
        <f>SKEW(Table1[log(tdp_watts)])</f>
        <v>1.0730603511378074</v>
      </c>
      <c r="S28">
        <v>1393</v>
      </c>
      <c r="T28">
        <f>SKEW(Table1[estimated_shipments_units])</f>
        <v>5.1829756087773573</v>
      </c>
      <c r="U28">
        <f>LN(1+Table1[[#This Row],[estimated_shipments_units]])</f>
        <v>7.2399325913204695</v>
      </c>
      <c r="V28">
        <f t="shared" si="1"/>
        <v>-0.14365066136498664</v>
      </c>
      <c r="W28">
        <v>15000</v>
      </c>
      <c r="X28">
        <f>SKEW(Table1[estimated_asp_usd])</f>
        <v>6.1553602568167474</v>
      </c>
      <c r="Y28">
        <f>LN(1+Table1[[#This Row],[estimated_asp_usd]])</f>
        <v>9.6158721445288897</v>
      </c>
      <c r="Z28">
        <f>SKEW(Table1[log(estimated_asp_usd)])</f>
        <v>-2.8993473795412101</v>
      </c>
      <c r="AA28">
        <v>20.9</v>
      </c>
      <c r="AB28">
        <f>SKEW(Table1[estimated_revenue_usd_m])</f>
        <v>5.8862244869270315</v>
      </c>
      <c r="AC28">
        <f>LN(1+Table1[[#This Row],[estimated_revenue_usd_m]])</f>
        <v>3.0864866368224551</v>
      </c>
      <c r="AD28">
        <f>SKEW(Table1[log(estimated_revenue_usd)])</f>
        <v>0.29428154884363278</v>
      </c>
      <c r="AE28" t="s">
        <v>56</v>
      </c>
      <c r="BD28" s="6">
        <v>32</v>
      </c>
      <c r="BE28" s="6">
        <v>190</v>
      </c>
      <c r="BF28" s="6">
        <v>175</v>
      </c>
      <c r="BG28" s="6">
        <v>66238</v>
      </c>
      <c r="BH28" s="6">
        <v>15000</v>
      </c>
      <c r="BI28" s="6">
        <v>993.6</v>
      </c>
    </row>
    <row r="29" spans="1:61" x14ac:dyDescent="0.35">
      <c r="A29">
        <v>2024</v>
      </c>
      <c r="B29" t="s">
        <v>50</v>
      </c>
      <c r="C29" t="s">
        <v>75</v>
      </c>
      <c r="D29" s="1" t="d">
        <v>2024-09-15</v>
      </c>
      <c r="E29" s="11">
        <f>Table1[[#This Row],[year]]-YEAR(Table1[[#This Row],[launch_date]])</f>
        <v>0</v>
      </c>
      <c r="F29">
        <v>64</v>
      </c>
      <c r="G29">
        <f>SKEW(Table1[memory_gb])</f>
        <v>4.4615286901097004</v>
      </c>
      <c r="H29">
        <f>LN(1+Table1[[#This Row],[memory_gb]])</f>
        <v>4.1743872698956368</v>
      </c>
      <c r="I29">
        <f>SKEW(Table1[log(memory_gb)])</f>
        <v>-0.12349734745152563</v>
      </c>
      <c r="J29">
        <v>800</v>
      </c>
      <c r="K29" cm="1">
        <f t="array" ref="K29">SKEW(Table1[fp16_tflops])</f>
        <v>3.0570434318989719</v>
      </c>
      <c r="L29">
        <f>LN(1+Table1[[#This Row],[fp16_tflops]])</f>
        <v>6.6858609470683596</v>
      </c>
      <c r="M29">
        <f t="shared" si="0"/>
        <v>-0.18805577053363171</v>
      </c>
      <c r="N29">
        <v>450</v>
      </c>
      <c r="O29" cm="1">
        <f t="array" ref="O29">SKEW(Table1[tdp_watts])</f>
        <v>6.0149845187563606</v>
      </c>
      <c r="P29">
        <f>LN(1+Table1[[#This Row],[tdp_watts]])</f>
        <v>6.1114673395026786</v>
      </c>
      <c r="Q29" s="10">
        <f>(Table1[[#This Row],[fp16_tflops]]/Table1[[#This Row],[tdp_watts]])</f>
        <v>1.7777777777777777</v>
      </c>
      <c r="R29">
        <f>SKEW(Table1[log(tdp_watts)])</f>
        <v>1.0730603511378074</v>
      </c>
      <c r="S29">
        <v>3425</v>
      </c>
      <c r="T29">
        <f>SKEW(Table1[estimated_shipments_units])</f>
        <v>5.1829756087773573</v>
      </c>
      <c r="U29">
        <f>LN(1+Table1[[#This Row],[estimated_shipments_units]])</f>
        <v>8.1391486788840659</v>
      </c>
      <c r="V29">
        <f t="shared" si="1"/>
        <v>-0.15382386173114998</v>
      </c>
      <c r="W29">
        <v>20000</v>
      </c>
      <c r="X29">
        <f>SKEW(Table1[estimated_asp_usd])</f>
        <v>6.1553602568167474</v>
      </c>
      <c r="Y29">
        <f>LN(1+Table1[[#This Row],[estimated_asp_usd]])</f>
        <v>9.9035375512861705</v>
      </c>
      <c r="Z29">
        <f>SKEW(Table1[log(estimated_asp_usd)])</f>
        <v>-2.8993473795412101</v>
      </c>
      <c r="AA29">
        <v>68.5</v>
      </c>
      <c r="AB29">
        <f>SKEW(Table1[estimated_revenue_usd_m])</f>
        <v>5.8862244869270315</v>
      </c>
      <c r="AC29">
        <f>LN(1+Table1[[#This Row],[estimated_revenue_usd_m]])</f>
        <v>4.2413267525707461</v>
      </c>
      <c r="AD29">
        <f>SKEW(Table1[log(estimated_revenue_usd)])</f>
        <v>0.29428154884363278</v>
      </c>
      <c r="AE29" t="s">
        <v>78</v>
      </c>
      <c r="BD29" s="7">
        <v>32</v>
      </c>
      <c r="BE29" s="7">
        <v>190</v>
      </c>
      <c r="BF29" s="7">
        <v>175</v>
      </c>
      <c r="BG29" s="7">
        <v>21199</v>
      </c>
      <c r="BH29" s="7">
        <v>15000</v>
      </c>
      <c r="BI29" s="7">
        <v>318</v>
      </c>
    </row>
    <row r="30" spans="1:61" x14ac:dyDescent="0.35">
      <c r="A30">
        <v>2025</v>
      </c>
      <c r="B30" t="s">
        <v>50</v>
      </c>
      <c r="C30" t="s">
        <v>75</v>
      </c>
      <c r="D30" s="1" t="d">
        <v>2024-09-15</v>
      </c>
      <c r="E30" s="11">
        <f>Table1[[#This Row],[year]]-YEAR(Table1[[#This Row],[launch_date]])</f>
        <v>1</v>
      </c>
      <c r="F30">
        <v>64</v>
      </c>
      <c r="G30">
        <f>SKEW(Table1[memory_gb])</f>
        <v>4.4615286901097004</v>
      </c>
      <c r="H30">
        <f>LN(1+Table1[[#This Row],[memory_gb]])</f>
        <v>4.1743872698956368</v>
      </c>
      <c r="I30">
        <f>SKEW(Table1[log(memory_gb)])</f>
        <v>-0.12349734745152563</v>
      </c>
      <c r="J30">
        <v>800</v>
      </c>
      <c r="K30" cm="1">
        <f t="array" ref="K30">SKEW(Table1[fp16_tflops])</f>
        <v>3.0570434318989719</v>
      </c>
      <c r="L30">
        <f>LN(1+Table1[[#This Row],[fp16_tflops]])</f>
        <v>6.6858609470683596</v>
      </c>
      <c r="M30">
        <f t="shared" si="0"/>
        <v>-0.16851535498242795</v>
      </c>
      <c r="N30">
        <v>450</v>
      </c>
      <c r="O30" cm="1">
        <f t="array" ref="O30">SKEW(Table1[tdp_watts])</f>
        <v>6.0149845187563606</v>
      </c>
      <c r="P30">
        <f>LN(1+Table1[[#This Row],[tdp_watts]])</f>
        <v>6.1114673395026786</v>
      </c>
      <c r="Q30" s="10">
        <f>(Table1[[#This Row],[fp16_tflops]]/Table1[[#This Row],[tdp_watts]])</f>
        <v>1.7777777777777777</v>
      </c>
      <c r="R30">
        <f>SKEW(Table1[log(tdp_watts)])</f>
        <v>1.0730603511378074</v>
      </c>
      <c r="S30">
        <v>42439</v>
      </c>
      <c r="T30">
        <f>SKEW(Table1[estimated_shipments_units])</f>
        <v>5.1829756087773573</v>
      </c>
      <c r="U30">
        <f>LN(1+Table1[[#This Row],[estimated_shipments_units]])</f>
        <v>10.655846592727919</v>
      </c>
      <c r="V30">
        <f t="shared" si="1"/>
        <v>-0.15553780382981078</v>
      </c>
      <c r="W30">
        <v>20000</v>
      </c>
      <c r="X30">
        <f>SKEW(Table1[estimated_asp_usd])</f>
        <v>6.1553602568167474</v>
      </c>
      <c r="Y30">
        <f>LN(1+Table1[[#This Row],[estimated_asp_usd]])</f>
        <v>9.9035375512861705</v>
      </c>
      <c r="Z30">
        <f>SKEW(Table1[log(estimated_asp_usd)])</f>
        <v>-2.8993473795412101</v>
      </c>
      <c r="AA30">
        <v>848.8</v>
      </c>
      <c r="AB30">
        <f>SKEW(Table1[estimated_revenue_usd_m])</f>
        <v>5.8862244869270315</v>
      </c>
      <c r="AC30">
        <f>LN(1+Table1[[#This Row],[estimated_revenue_usd_m]])</f>
        <v>6.7450010276807113</v>
      </c>
      <c r="AD30">
        <f>SKEW(Table1[log(estimated_revenue_usd)])</f>
        <v>0.29428154884363278</v>
      </c>
      <c r="AE30" t="s">
        <v>78</v>
      </c>
      <c r="BD30" s="6">
        <v>16</v>
      </c>
      <c r="BE30" s="6">
        <v>256</v>
      </c>
      <c r="BF30" s="6">
        <v>250</v>
      </c>
      <c r="BG30" s="6">
        <v>32</v>
      </c>
      <c r="BH30" s="6">
        <v>15000</v>
      </c>
      <c r="BI30" s="6">
        <v>0.5</v>
      </c>
    </row>
    <row r="31" spans="1:61" x14ac:dyDescent="0.35">
      <c r="A31">
        <v>2026</v>
      </c>
      <c r="B31" t="s">
        <v>50</v>
      </c>
      <c r="C31" t="s">
        <v>75</v>
      </c>
      <c r="D31" s="1" t="d">
        <v>2024-09-15</v>
      </c>
      <c r="E31" s="11">
        <f>Table1[[#This Row],[year]]-YEAR(Table1[[#This Row],[launch_date]])</f>
        <v>2</v>
      </c>
      <c r="F31">
        <v>64</v>
      </c>
      <c r="G31">
        <f>SKEW(Table1[memory_gb])</f>
        <v>4.4615286901097004</v>
      </c>
      <c r="H31">
        <f>LN(1+Table1[[#This Row],[memory_gb]])</f>
        <v>4.1743872698956368</v>
      </c>
      <c r="I31">
        <f>SKEW(Table1[log(memory_gb)])</f>
        <v>-0.12349734745152563</v>
      </c>
      <c r="J31">
        <v>800</v>
      </c>
      <c r="K31" cm="1">
        <f t="array" ref="K31">SKEW(Table1[fp16_tflops])</f>
        <v>3.0570434318989719</v>
      </c>
      <c r="L31">
        <f>LN(1+Table1[[#This Row],[fp16_tflops]])</f>
        <v>6.6858609470683596</v>
      </c>
      <c r="M31">
        <f t="shared" si="0"/>
        <v>-0.14862385187898378</v>
      </c>
      <c r="N31">
        <v>450</v>
      </c>
      <c r="O31" cm="1">
        <f t="array" ref="O31">SKEW(Table1[tdp_watts])</f>
        <v>6.0149845187563606</v>
      </c>
      <c r="P31">
        <f>LN(1+Table1[[#This Row],[tdp_watts]])</f>
        <v>6.1114673395026786</v>
      </c>
      <c r="Q31" s="10">
        <f>(Table1[[#This Row],[fp16_tflops]]/Table1[[#This Row],[tdp_watts]])</f>
        <v>1.7777777777777777</v>
      </c>
      <c r="R31">
        <f>SKEW(Table1[log(tdp_watts)])</f>
        <v>1.0730603511378074</v>
      </c>
      <c r="S31">
        <v>32195</v>
      </c>
      <c r="T31">
        <f>SKEW(Table1[estimated_shipments_units])</f>
        <v>5.1829756087773573</v>
      </c>
      <c r="U31">
        <f>LN(1+Table1[[#This Row],[estimated_shipments_units]])</f>
        <v>10.379597500213624</v>
      </c>
      <c r="V31">
        <f t="shared" si="1"/>
        <v>-0.13693286819300507</v>
      </c>
      <c r="W31">
        <v>20000</v>
      </c>
      <c r="X31">
        <f>SKEW(Table1[estimated_asp_usd])</f>
        <v>6.1553602568167474</v>
      </c>
      <c r="Y31">
        <f>LN(1+Table1[[#This Row],[estimated_asp_usd]])</f>
        <v>9.9035375512861705</v>
      </c>
      <c r="Z31">
        <f>SKEW(Table1[log(estimated_asp_usd)])</f>
        <v>-2.8993473795412101</v>
      </c>
      <c r="AA31">
        <v>643.9</v>
      </c>
      <c r="AB31">
        <f>SKEW(Table1[estimated_revenue_usd_m])</f>
        <v>5.8862244869270315</v>
      </c>
      <c r="AC31">
        <f>LN(1+Table1[[#This Row],[estimated_revenue_usd_m]])</f>
        <v>6.4690952660163319</v>
      </c>
      <c r="AD31">
        <f>SKEW(Table1[log(estimated_revenue_usd)])</f>
        <v>0.29428154884363278</v>
      </c>
      <c r="AE31" t="s">
        <v>78</v>
      </c>
      <c r="BD31" s="7">
        <v>16</v>
      </c>
      <c r="BE31" s="7">
        <v>256</v>
      </c>
      <c r="BF31" s="7">
        <v>250</v>
      </c>
      <c r="BG31" s="7">
        <v>1041</v>
      </c>
      <c r="BH31" s="7">
        <v>15000</v>
      </c>
      <c r="BI31" s="7">
        <v>15.6</v>
      </c>
    </row>
    <row r="32" spans="1:61" x14ac:dyDescent="0.35">
      <c r="A32">
        <v>2023</v>
      </c>
      <c r="B32" t="s">
        <v>27</v>
      </c>
      <c r="C32" t="s">
        <v>46</v>
      </c>
      <c r="D32" s="1" t="d">
        <v>2023-12-06</v>
      </c>
      <c r="E32" s="11">
        <f>Table1[[#This Row],[year]]-YEAR(Table1[[#This Row],[launch_date]])</f>
        <v>0</v>
      </c>
      <c r="F32">
        <v>192</v>
      </c>
      <c r="G32">
        <f>SKEW(Table1[memory_gb])</f>
        <v>4.4615286901097004</v>
      </c>
      <c r="H32">
        <f>LN(1+Table1[[#This Row],[memory_gb]])</f>
        <v>5.2626901889048856</v>
      </c>
      <c r="I32">
        <f>SKEW(Table1[log(memory_gb)])</f>
        <v>-0.12349734745152563</v>
      </c>
      <c r="J32">
        <v>1300</v>
      </c>
      <c r="K32" cm="1">
        <f t="array" ref="K32">SKEW(Table1[fp16_tflops])</f>
        <v>3.0570434318989719</v>
      </c>
      <c r="L32">
        <f>LN(1+Table1[[#This Row],[fp16_tflops]])</f>
        <v>7.1708884785125049</v>
      </c>
      <c r="M32">
        <f t="shared" si="0"/>
        <v>-0.12836769654362437</v>
      </c>
      <c r="N32">
        <v>750</v>
      </c>
      <c r="O32" cm="1">
        <f t="array" ref="O32">SKEW(Table1[tdp_watts])</f>
        <v>6.0149845187563606</v>
      </c>
      <c r="P32">
        <f>LN(1+Table1[[#This Row],[tdp_watts]])</f>
        <v>6.6214056517641344</v>
      </c>
      <c r="Q32" s="10">
        <f>(Table1[[#This Row],[fp16_tflops]]/Table1[[#This Row],[tdp_watts]])</f>
        <v>1.7333333333333334</v>
      </c>
      <c r="R32">
        <f>SKEW(Table1[log(tdp_watts)])</f>
        <v>1.0730603511378074</v>
      </c>
      <c r="S32">
        <v>0</v>
      </c>
      <c r="T32">
        <f>SKEW(Table1[estimated_shipments_units])</f>
        <v>5.1829756087773573</v>
      </c>
      <c r="U32">
        <f>LN(1+Table1[[#This Row],[estimated_shipments_units]])</f>
        <v>0</v>
      </c>
      <c r="V32">
        <f t="shared" si="1"/>
        <v>-0.11943598770534807</v>
      </c>
      <c r="W32">
        <v>18000</v>
      </c>
      <c r="X32">
        <f>SKEW(Table1[estimated_asp_usd])</f>
        <v>6.1553602568167474</v>
      </c>
      <c r="Y32">
        <f>LN(1+Table1[[#This Row],[estimated_asp_usd]])</f>
        <v>9.7981825908907041</v>
      </c>
      <c r="Z32">
        <f>SKEW(Table1[log(estimated_asp_usd)])</f>
        <v>-2.8993473795412101</v>
      </c>
      <c r="AA32">
        <v>0</v>
      </c>
      <c r="AB32">
        <f>SKEW(Table1[estimated_revenue_usd_m])</f>
        <v>5.8862244869270315</v>
      </c>
      <c r="AC32">
        <f>LN(1+Table1[[#This Row],[estimated_revenue_usd_m]])</f>
        <v>0</v>
      </c>
      <c r="AD32">
        <f>SKEW(Table1[log(estimated_revenue_usd)])</f>
        <v>0.29428154884363278</v>
      </c>
      <c r="AE32" t="s">
        <v>54</v>
      </c>
      <c r="BD32" s="6">
        <v>16</v>
      </c>
      <c r="BE32" s="6">
        <v>256</v>
      </c>
      <c r="BF32" s="6">
        <v>250</v>
      </c>
      <c r="BG32" s="6">
        <v>846</v>
      </c>
      <c r="BH32" s="6">
        <v>15000</v>
      </c>
      <c r="BI32" s="6">
        <v>12.7</v>
      </c>
    </row>
    <row r="33" spans="1:61" x14ac:dyDescent="0.35">
      <c r="A33">
        <v>2024</v>
      </c>
      <c r="B33" t="s">
        <v>27</v>
      </c>
      <c r="C33" t="s">
        <v>46</v>
      </c>
      <c r="D33" s="1" t="d">
        <v>2023-12-06</v>
      </c>
      <c r="E33" s="11">
        <f>Table1[[#This Row],[year]]-YEAR(Table1[[#This Row],[launch_date]])</f>
        <v>1</v>
      </c>
      <c r="F33">
        <v>192</v>
      </c>
      <c r="G33">
        <f>SKEW(Table1[memory_gb])</f>
        <v>4.4615286901097004</v>
      </c>
      <c r="H33">
        <f>LN(1+Table1[[#This Row],[memory_gb]])</f>
        <v>5.2626901889048856</v>
      </c>
      <c r="I33">
        <f>SKEW(Table1[log(memory_gb)])</f>
        <v>-0.12349734745152563</v>
      </c>
      <c r="J33">
        <v>1300</v>
      </c>
      <c r="K33" cm="1">
        <f t="array" ref="K33">SKEW(Table1[fp16_tflops])</f>
        <v>3.0570434318989719</v>
      </c>
      <c r="L33">
        <f>LN(1+Table1[[#This Row],[fp16_tflops]])</f>
        <v>7.1708884785125049</v>
      </c>
      <c r="M33">
        <f t="shared" si="0"/>
        <v>-0.1308463802811298</v>
      </c>
      <c r="N33">
        <v>750</v>
      </c>
      <c r="O33" cm="1">
        <f t="array" ref="O33">SKEW(Table1[tdp_watts])</f>
        <v>6.0149845187563606</v>
      </c>
      <c r="P33">
        <f>LN(1+Table1[[#This Row],[tdp_watts]])</f>
        <v>6.6214056517641344</v>
      </c>
      <c r="Q33" s="10">
        <f>(Table1[[#This Row],[fp16_tflops]]/Table1[[#This Row],[tdp_watts]])</f>
        <v>1.7333333333333334</v>
      </c>
      <c r="R33">
        <f>SKEW(Table1[log(tdp_watts)])</f>
        <v>1.0730603511378074</v>
      </c>
      <c r="S33">
        <v>414143</v>
      </c>
      <c r="T33">
        <f>SKEW(Table1[estimated_shipments_units])</f>
        <v>5.1829756087773573</v>
      </c>
      <c r="U33">
        <f>LN(1+Table1[[#This Row],[estimated_shipments_units]])</f>
        <v>12.933969018416938</v>
      </c>
      <c r="V33">
        <f t="shared" si="1"/>
        <v>-3.7935614459110999E-2</v>
      </c>
      <c r="W33">
        <v>18000</v>
      </c>
      <c r="X33">
        <f>SKEW(Table1[estimated_asp_usd])</f>
        <v>6.1553602568167474</v>
      </c>
      <c r="Y33">
        <f>LN(1+Table1[[#This Row],[estimated_asp_usd]])</f>
        <v>9.7981825908907041</v>
      </c>
      <c r="Z33">
        <f>SKEW(Table1[log(estimated_asp_usd)])</f>
        <v>-2.8993473795412101</v>
      </c>
      <c r="AA33">
        <v>7454.6</v>
      </c>
      <c r="AB33">
        <f>SKEW(Table1[estimated_revenue_usd_m])</f>
        <v>5.8862244869270315</v>
      </c>
      <c r="AC33">
        <f>LN(1+Table1[[#This Row],[estimated_revenue_usd_m]])</f>
        <v>8.9167207068576477</v>
      </c>
      <c r="AD33">
        <f>SKEW(Table1[log(estimated_revenue_usd)])</f>
        <v>0.29428154884363278</v>
      </c>
      <c r="AE33" t="s">
        <v>54</v>
      </c>
      <c r="BD33" s="7">
        <v>16</v>
      </c>
      <c r="BE33" s="7">
        <v>256</v>
      </c>
      <c r="BF33" s="7">
        <v>250</v>
      </c>
      <c r="BG33" s="7">
        <v>381</v>
      </c>
      <c r="BH33" s="7">
        <v>15000</v>
      </c>
      <c r="BI33" s="7">
        <v>5.7</v>
      </c>
    </row>
    <row r="34" spans="1:61" x14ac:dyDescent="0.35">
      <c r="A34">
        <v>2025</v>
      </c>
      <c r="B34" t="s">
        <v>27</v>
      </c>
      <c r="C34" t="s">
        <v>46</v>
      </c>
      <c r="D34" s="1" t="d">
        <v>2023-12-06</v>
      </c>
      <c r="E34" s="11">
        <f>Table1[[#This Row],[year]]-YEAR(Table1[[#This Row],[launch_date]])</f>
        <v>2</v>
      </c>
      <c r="F34">
        <v>192</v>
      </c>
      <c r="G34">
        <f>SKEW(Table1[memory_gb])</f>
        <v>4.4615286901097004</v>
      </c>
      <c r="H34">
        <f>LN(1+Table1[[#This Row],[memory_gb]])</f>
        <v>5.2626901889048856</v>
      </c>
      <c r="I34">
        <f>SKEW(Table1[log(memory_gb)])</f>
        <v>-0.12349734745152563</v>
      </c>
      <c r="J34">
        <v>1300</v>
      </c>
      <c r="K34" cm="1">
        <f t="array" ref="K34">SKEW(Table1[fp16_tflops])</f>
        <v>3.0570434318989719</v>
      </c>
      <c r="L34">
        <f>LN(1+Table1[[#This Row],[fp16_tflops]])</f>
        <v>7.1708884785125049</v>
      </c>
      <c r="M34">
        <f t="shared" ref="M34:M65" si="3">SKEW(L34:L153)</f>
        <v>-0.13627141786409508</v>
      </c>
      <c r="N34">
        <v>750</v>
      </c>
      <c r="O34" cm="1">
        <f t="array" ref="O34">SKEW(Table1[tdp_watts])</f>
        <v>6.0149845187563606</v>
      </c>
      <c r="P34">
        <f>LN(1+Table1[[#This Row],[tdp_watts]])</f>
        <v>6.6214056517641344</v>
      </c>
      <c r="Q34" s="10">
        <f>(Table1[[#This Row],[fp16_tflops]]/Table1[[#This Row],[tdp_watts]])</f>
        <v>1.7333333333333334</v>
      </c>
      <c r="R34">
        <f>SKEW(Table1[log(tdp_watts)])</f>
        <v>1.0730603511378074</v>
      </c>
      <c r="S34">
        <v>369849</v>
      </c>
      <c r="T34">
        <f>SKEW(Table1[estimated_shipments_units])</f>
        <v>5.1829756087773573</v>
      </c>
      <c r="U34">
        <f>LN(1+Table1[[#This Row],[estimated_shipments_units]])</f>
        <v>12.820852797016014</v>
      </c>
      <c r="V34">
        <f t="shared" ref="V34:V65" si="4">SKEW(U34:U153)</f>
        <v>-2.0611385909443319E-2</v>
      </c>
      <c r="W34">
        <v>18000</v>
      </c>
      <c r="X34">
        <f>SKEW(Table1[estimated_asp_usd])</f>
        <v>6.1553602568167474</v>
      </c>
      <c r="Y34">
        <f>LN(1+Table1[[#This Row],[estimated_asp_usd]])</f>
        <v>9.7981825908907041</v>
      </c>
      <c r="Z34">
        <f>SKEW(Table1[log(estimated_asp_usd)])</f>
        <v>-2.8993473795412101</v>
      </c>
      <c r="AA34">
        <v>6657.3</v>
      </c>
      <c r="AB34">
        <f>SKEW(Table1[estimated_revenue_usd_m])</f>
        <v>5.8862244869270315</v>
      </c>
      <c r="AC34">
        <f>LN(1+Table1[[#This Row],[estimated_revenue_usd_m]])</f>
        <v>8.8036194756960118</v>
      </c>
      <c r="AD34">
        <f>SKEW(Table1[log(estimated_revenue_usd)])</f>
        <v>0.29428154884363278</v>
      </c>
      <c r="AE34" t="s">
        <v>54</v>
      </c>
      <c r="BD34" s="6">
        <v>16</v>
      </c>
      <c r="BE34" s="6">
        <v>256</v>
      </c>
      <c r="BF34" s="6">
        <v>250</v>
      </c>
      <c r="BG34" s="6">
        <v>146</v>
      </c>
      <c r="BH34" s="6">
        <v>15000</v>
      </c>
      <c r="BI34" s="6">
        <v>2.2000000000000002</v>
      </c>
    </row>
    <row r="35" spans="1:61" x14ac:dyDescent="0.35">
      <c r="A35">
        <v>2026</v>
      </c>
      <c r="B35" t="s">
        <v>27</v>
      </c>
      <c r="C35" t="s">
        <v>46</v>
      </c>
      <c r="D35" s="1" t="d">
        <v>2023-12-06</v>
      </c>
      <c r="E35" s="11">
        <f>Table1[[#This Row],[year]]-YEAR(Table1[[#This Row],[launch_date]])</f>
        <v>3</v>
      </c>
      <c r="F35">
        <v>192</v>
      </c>
      <c r="G35">
        <f>SKEW(Table1[memory_gb])</f>
        <v>4.4615286901097004</v>
      </c>
      <c r="H35">
        <f>LN(1+Table1[[#This Row],[memory_gb]])</f>
        <v>5.2626901889048856</v>
      </c>
      <c r="I35">
        <f>SKEW(Table1[log(memory_gb)])</f>
        <v>-0.12349734745152563</v>
      </c>
      <c r="J35">
        <v>1300</v>
      </c>
      <c r="K35" cm="1">
        <f t="array" ref="K35">SKEW(Table1[fp16_tflops])</f>
        <v>3.0570434318989719</v>
      </c>
      <c r="L35">
        <f>LN(1+Table1[[#This Row],[fp16_tflops]])</f>
        <v>7.1708884785125049</v>
      </c>
      <c r="M35">
        <f t="shared" si="3"/>
        <v>-0.14527252441297506</v>
      </c>
      <c r="N35">
        <v>750</v>
      </c>
      <c r="O35" cm="1">
        <f t="array" ref="O35">SKEW(Table1[tdp_watts])</f>
        <v>6.0149845187563606</v>
      </c>
      <c r="P35">
        <f>LN(1+Table1[[#This Row],[tdp_watts]])</f>
        <v>6.6214056517641344</v>
      </c>
      <c r="Q35" s="10">
        <f>(Table1[[#This Row],[fp16_tflops]]/Table1[[#This Row],[tdp_watts]])</f>
        <v>1.7333333333333334</v>
      </c>
      <c r="R35">
        <f>SKEW(Table1[log(tdp_watts)])</f>
        <v>1.0730603511378074</v>
      </c>
      <c r="S35">
        <v>162122</v>
      </c>
      <c r="T35">
        <f>SKEW(Table1[estimated_shipments_units])</f>
        <v>5.1829756087773573</v>
      </c>
      <c r="U35">
        <f>LN(1+Table1[[#This Row],[estimated_shipments_units]])</f>
        <v>11.996110585382285</v>
      </c>
      <c r="V35">
        <f t="shared" si="4"/>
        <v>-2.2574486034603169E-3</v>
      </c>
      <c r="W35">
        <v>18000</v>
      </c>
      <c r="X35">
        <f>SKEW(Table1[estimated_asp_usd])</f>
        <v>6.1553602568167474</v>
      </c>
      <c r="Y35">
        <f>LN(1+Table1[[#This Row],[estimated_asp_usd]])</f>
        <v>9.7981825908907041</v>
      </c>
      <c r="Z35">
        <f>SKEW(Table1[log(estimated_asp_usd)])</f>
        <v>-2.8993473795412101</v>
      </c>
      <c r="AA35">
        <v>2918.2</v>
      </c>
      <c r="AB35">
        <f>SKEW(Table1[estimated_revenue_usd_m])</f>
        <v>5.8862244869270315</v>
      </c>
      <c r="AC35">
        <f>LN(1+Table1[[#This Row],[estimated_revenue_usd_m]])</f>
        <v>7.9790648851222379</v>
      </c>
      <c r="AD35">
        <f>SKEW(Table1[log(estimated_revenue_usd)])</f>
        <v>0.29428154884363278</v>
      </c>
      <c r="AE35" t="s">
        <v>54</v>
      </c>
      <c r="BD35" s="7">
        <v>16</v>
      </c>
      <c r="BE35" s="7">
        <v>256</v>
      </c>
      <c r="BF35" s="7">
        <v>250</v>
      </c>
      <c r="BG35" s="7">
        <v>173</v>
      </c>
      <c r="BH35" s="7">
        <v>15000</v>
      </c>
      <c r="BI35" s="7">
        <v>2.6</v>
      </c>
    </row>
    <row r="36" spans="1:61" x14ac:dyDescent="0.35">
      <c r="A36">
        <v>2023</v>
      </c>
      <c r="B36" t="s">
        <v>44</v>
      </c>
      <c r="C36" t="s">
        <v>71</v>
      </c>
      <c r="D36" s="1" t="d">
        <v>2023-09-19</v>
      </c>
      <c r="E36" s="11">
        <f>Table1[[#This Row],[year]]-YEAR(Table1[[#This Row],[launch_date]])</f>
        <v>0</v>
      </c>
      <c r="F36">
        <v>1500</v>
      </c>
      <c r="G36">
        <f>SKEW(Table1[memory_gb])</f>
        <v>4.4615286901097004</v>
      </c>
      <c r="H36">
        <f>LN(1+Table1[[#This Row],[memory_gb]])</f>
        <v>7.3138868316334618</v>
      </c>
      <c r="I36">
        <f>SKEW(Table1[log(memory_gb)])</f>
        <v>-0.12349734745152563</v>
      </c>
      <c r="J36">
        <v>510</v>
      </c>
      <c r="K36" cm="1">
        <f t="array" ref="K36">SKEW(Table1[fp16_tflops])</f>
        <v>3.0570434318989719</v>
      </c>
      <c r="L36">
        <f>LN(1+Table1[[#This Row],[fp16_tflops]])</f>
        <v>6.2363695902037044</v>
      </c>
      <c r="M36">
        <f t="shared" si="3"/>
        <v>-0.15863899270850876</v>
      </c>
      <c r="N36">
        <v>300</v>
      </c>
      <c r="O36" cm="1">
        <f t="array" ref="O36">SKEW(Table1[tdp_watts])</f>
        <v>6.0149845187563606</v>
      </c>
      <c r="P36">
        <f>LN(1+Table1[[#This Row],[tdp_watts]])</f>
        <v>5.7071102647488754</v>
      </c>
      <c r="Q36" s="10">
        <f>(Table1[[#This Row],[fp16_tflops]]/Table1[[#This Row],[tdp_watts]])</f>
        <v>1.7</v>
      </c>
      <c r="R36">
        <f>SKEW(Table1[log(tdp_watts)])</f>
        <v>1.0730603511378074</v>
      </c>
      <c r="S36">
        <v>258</v>
      </c>
      <c r="T36">
        <f>SKEW(Table1[estimated_shipments_units])</f>
        <v>5.1829756087773573</v>
      </c>
      <c r="U36">
        <f>LN(1+Table1[[#This Row],[estimated_shipments_units]])</f>
        <v>5.5568280616995374</v>
      </c>
      <c r="V36">
        <f t="shared" si="4"/>
        <v>2.0957696543484113E-2</v>
      </c>
      <c r="W36">
        <v>15000</v>
      </c>
      <c r="X36">
        <f>SKEW(Table1[estimated_asp_usd])</f>
        <v>6.1553602568167474</v>
      </c>
      <c r="Y36">
        <f>LN(1+Table1[[#This Row],[estimated_asp_usd]])</f>
        <v>9.6158721445288897</v>
      </c>
      <c r="Z36">
        <f>SKEW(Table1[log(estimated_asp_usd)])</f>
        <v>-2.8993473795412101</v>
      </c>
      <c r="AA36">
        <v>3.9</v>
      </c>
      <c r="AB36">
        <f>SKEW(Table1[estimated_revenue_usd_m])</f>
        <v>5.8862244869270315</v>
      </c>
      <c r="AC36">
        <f>LN(1+Table1[[#This Row],[estimated_revenue_usd_m]])</f>
        <v>1.589235205116581</v>
      </c>
      <c r="AD36">
        <f>SKEW(Table1[log(estimated_revenue_usd)])</f>
        <v>0.29428154884363278</v>
      </c>
      <c r="AE36" t="s">
        <v>72</v>
      </c>
      <c r="BD36" s="6">
        <v>0</v>
      </c>
      <c r="BE36" s="6">
        <v>1250</v>
      </c>
      <c r="BF36" s="6">
        <v>23000</v>
      </c>
      <c r="BG36" s="6">
        <v>228</v>
      </c>
      <c r="BH36" s="6">
        <v>2500000</v>
      </c>
      <c r="BI36" s="6">
        <v>570</v>
      </c>
    </row>
    <row r="37" spans="1:61" x14ac:dyDescent="0.35">
      <c r="A37">
        <v>2024</v>
      </c>
      <c r="B37" t="s">
        <v>44</v>
      </c>
      <c r="C37" t="s">
        <v>71</v>
      </c>
      <c r="D37" s="1" t="d">
        <v>2023-09-19</v>
      </c>
      <c r="E37" s="11">
        <f>Table1[[#This Row],[year]]-YEAR(Table1[[#This Row],[launch_date]])</f>
        <v>1</v>
      </c>
      <c r="F37">
        <v>1500</v>
      </c>
      <c r="G37">
        <f>SKEW(Table1[memory_gb])</f>
        <v>4.4615286901097004</v>
      </c>
      <c r="H37">
        <f>LN(1+Table1[[#This Row],[memory_gb]])</f>
        <v>7.3138868316334618</v>
      </c>
      <c r="I37">
        <f>SKEW(Table1[log(memory_gb)])</f>
        <v>-0.12349734745152563</v>
      </c>
      <c r="J37">
        <v>510</v>
      </c>
      <c r="K37" cm="1">
        <f t="array" ref="K37">SKEW(Table1[fp16_tflops])</f>
        <v>3.0570434318989719</v>
      </c>
      <c r="L37">
        <f>LN(1+Table1[[#This Row],[fp16_tflops]])</f>
        <v>6.2363695902037044</v>
      </c>
      <c r="M37">
        <f t="shared" si="3"/>
        <v>-0.13864644099720674</v>
      </c>
      <c r="N37">
        <v>300</v>
      </c>
      <c r="O37" cm="1">
        <f t="array" ref="O37">SKEW(Table1[tdp_watts])</f>
        <v>6.0149845187563606</v>
      </c>
      <c r="P37">
        <f>LN(1+Table1[[#This Row],[tdp_watts]])</f>
        <v>5.7071102647488754</v>
      </c>
      <c r="Q37" s="10">
        <f>(Table1[[#This Row],[fp16_tflops]]/Table1[[#This Row],[tdp_watts]])</f>
        <v>1.7</v>
      </c>
      <c r="R37">
        <f>SKEW(Table1[log(tdp_watts)])</f>
        <v>1.0730603511378074</v>
      </c>
      <c r="S37">
        <v>3312</v>
      </c>
      <c r="T37">
        <f>SKEW(Table1[estimated_shipments_units])</f>
        <v>5.1829756087773573</v>
      </c>
      <c r="U37">
        <f>LN(1+Table1[[#This Row],[estimated_shipments_units]])</f>
        <v>8.1056094022998959</v>
      </c>
      <c r="V37">
        <f t="shared" si="4"/>
        <v>-1.8876973129872757E-3</v>
      </c>
      <c r="W37">
        <v>15000</v>
      </c>
      <c r="X37">
        <f>SKEW(Table1[estimated_asp_usd])</f>
        <v>6.1553602568167474</v>
      </c>
      <c r="Y37">
        <f>LN(1+Table1[[#This Row],[estimated_asp_usd]])</f>
        <v>9.6158721445288897</v>
      </c>
      <c r="Z37">
        <f>SKEW(Table1[log(estimated_asp_usd)])</f>
        <v>-2.8993473795412101</v>
      </c>
      <c r="AA37">
        <v>49.7</v>
      </c>
      <c r="AB37">
        <f>SKEW(Table1[estimated_revenue_usd_m])</f>
        <v>5.8862244869270315</v>
      </c>
      <c r="AC37">
        <f>LN(1+Table1[[#This Row],[estimated_revenue_usd_m]])</f>
        <v>3.9259259105971376</v>
      </c>
      <c r="AD37">
        <f>SKEW(Table1[log(estimated_revenue_usd)])</f>
        <v>0.29428154884363278</v>
      </c>
      <c r="AE37" t="s">
        <v>72</v>
      </c>
      <c r="BD37" s="7">
        <v>0</v>
      </c>
      <c r="BE37" s="7">
        <v>1250</v>
      </c>
      <c r="BF37" s="7">
        <v>23000</v>
      </c>
      <c r="BG37" s="7">
        <v>1116</v>
      </c>
      <c r="BH37" s="7">
        <v>2500000</v>
      </c>
      <c r="BI37" s="7">
        <v>2790</v>
      </c>
    </row>
    <row r="38" spans="1:61" x14ac:dyDescent="0.35">
      <c r="A38">
        <v>2025</v>
      </c>
      <c r="B38" t="s">
        <v>44</v>
      </c>
      <c r="C38" t="s">
        <v>71</v>
      </c>
      <c r="D38" s="1" t="d">
        <v>2023-09-19</v>
      </c>
      <c r="E38" s="11">
        <f>Table1[[#This Row],[year]]-YEAR(Table1[[#This Row],[launch_date]])</f>
        <v>2</v>
      </c>
      <c r="F38">
        <v>1500</v>
      </c>
      <c r="G38">
        <f>SKEW(Table1[memory_gb])</f>
        <v>4.4615286901097004</v>
      </c>
      <c r="H38">
        <f>LN(1+Table1[[#This Row],[memory_gb]])</f>
        <v>7.3138868316334618</v>
      </c>
      <c r="I38">
        <f>SKEW(Table1[log(memory_gb)])</f>
        <v>-0.12349734745152563</v>
      </c>
      <c r="J38">
        <v>510</v>
      </c>
      <c r="K38" cm="1">
        <f t="array" ref="K38">SKEW(Table1[fp16_tflops])</f>
        <v>3.0570434318989719</v>
      </c>
      <c r="L38">
        <f>LN(1+Table1[[#This Row],[fp16_tflops]])</f>
        <v>6.2363695902037044</v>
      </c>
      <c r="M38">
        <f t="shared" si="3"/>
        <v>-0.11827202655204541</v>
      </c>
      <c r="N38">
        <v>300</v>
      </c>
      <c r="O38" cm="1">
        <f t="array" ref="O38">SKEW(Table1[tdp_watts])</f>
        <v>6.0149845187563606</v>
      </c>
      <c r="P38">
        <f>LN(1+Table1[[#This Row],[tdp_watts]])</f>
        <v>5.7071102647488754</v>
      </c>
      <c r="Q38" s="10">
        <f>(Table1[[#This Row],[fp16_tflops]]/Table1[[#This Row],[tdp_watts]])</f>
        <v>1.7</v>
      </c>
      <c r="R38">
        <f>SKEW(Table1[log(tdp_watts)])</f>
        <v>1.0730603511378074</v>
      </c>
      <c r="S38">
        <v>3199</v>
      </c>
      <c r="T38">
        <f>SKEW(Table1[estimated_shipments_units])</f>
        <v>5.1829756087773573</v>
      </c>
      <c r="U38">
        <f>LN(1+Table1[[#This Row],[estimated_shipments_units]])</f>
        <v>8.0709060887878188</v>
      </c>
      <c r="V38">
        <f t="shared" si="4"/>
        <v>-4.3764048105629696E-3</v>
      </c>
      <c r="W38">
        <v>15000</v>
      </c>
      <c r="X38">
        <f>SKEW(Table1[estimated_asp_usd])</f>
        <v>6.1553602568167474</v>
      </c>
      <c r="Y38">
        <f>LN(1+Table1[[#This Row],[estimated_asp_usd]])</f>
        <v>9.6158721445288897</v>
      </c>
      <c r="Z38">
        <f>SKEW(Table1[log(estimated_asp_usd)])</f>
        <v>-2.8993473795412101</v>
      </c>
      <c r="AA38">
        <v>48</v>
      </c>
      <c r="AB38">
        <f>SKEW(Table1[estimated_revenue_usd_m])</f>
        <v>5.8862244869270315</v>
      </c>
      <c r="AC38">
        <f>LN(1+Table1[[#This Row],[estimated_revenue_usd_m]])</f>
        <v>3.8918202981106265</v>
      </c>
      <c r="AD38">
        <f>SKEW(Table1[log(estimated_revenue_usd)])</f>
        <v>0.29428154884363278</v>
      </c>
      <c r="AE38" t="s">
        <v>72</v>
      </c>
      <c r="BD38" s="6">
        <v>0</v>
      </c>
      <c r="BE38" s="6">
        <v>1250</v>
      </c>
      <c r="BF38" s="6">
        <v>23000</v>
      </c>
      <c r="BG38" s="6">
        <v>746</v>
      </c>
      <c r="BH38" s="6">
        <v>2500000</v>
      </c>
      <c r="BI38" s="6">
        <v>1865</v>
      </c>
    </row>
    <row r="39" spans="1:61" x14ac:dyDescent="0.35">
      <c r="A39">
        <v>2026</v>
      </c>
      <c r="B39" t="s">
        <v>44</v>
      </c>
      <c r="C39" t="s">
        <v>71</v>
      </c>
      <c r="D39" s="1" t="d">
        <v>2023-09-19</v>
      </c>
      <c r="E39" s="11">
        <f>Table1[[#This Row],[year]]-YEAR(Table1[[#This Row],[launch_date]])</f>
        <v>3</v>
      </c>
      <c r="F39">
        <v>1500</v>
      </c>
      <c r="G39">
        <f>SKEW(Table1[memory_gb])</f>
        <v>4.4615286901097004</v>
      </c>
      <c r="H39">
        <f>LN(1+Table1[[#This Row],[memory_gb]])</f>
        <v>7.3138868316334618</v>
      </c>
      <c r="I39">
        <f>SKEW(Table1[log(memory_gb)])</f>
        <v>-0.12349734745152563</v>
      </c>
      <c r="J39">
        <v>510</v>
      </c>
      <c r="K39" cm="1">
        <f t="array" ref="K39">SKEW(Table1[fp16_tflops])</f>
        <v>3.0570434318989719</v>
      </c>
      <c r="L39">
        <f>LN(1+Table1[[#This Row],[fp16_tflops]])</f>
        <v>6.2363695902037044</v>
      </c>
      <c r="M39">
        <f t="shared" si="3"/>
        <v>-9.7498969358007184E-2</v>
      </c>
      <c r="N39">
        <v>300</v>
      </c>
      <c r="O39" cm="1">
        <f t="array" ref="O39">SKEW(Table1[tdp_watts])</f>
        <v>6.0149845187563606</v>
      </c>
      <c r="P39">
        <f>LN(1+Table1[[#This Row],[tdp_watts]])</f>
        <v>5.7071102647488754</v>
      </c>
      <c r="Q39" s="10">
        <f>(Table1[[#This Row],[fp16_tflops]]/Table1[[#This Row],[tdp_watts]])</f>
        <v>1.7</v>
      </c>
      <c r="R39">
        <f>SKEW(Table1[log(tdp_watts)])</f>
        <v>1.0730603511378074</v>
      </c>
      <c r="S39">
        <v>1070</v>
      </c>
      <c r="T39">
        <f>SKEW(Table1[estimated_shipments_units])</f>
        <v>5.1829756087773573</v>
      </c>
      <c r="U39">
        <f>LN(1+Table1[[#This Row],[estimated_shipments_units]])</f>
        <v>6.9763480704477487</v>
      </c>
      <c r="V39">
        <f t="shared" si="4"/>
        <v>-7.2765503631600963E-3</v>
      </c>
      <c r="W39">
        <v>15000</v>
      </c>
      <c r="X39">
        <f>SKEW(Table1[estimated_asp_usd])</f>
        <v>6.1553602568167474</v>
      </c>
      <c r="Y39">
        <f>LN(1+Table1[[#This Row],[estimated_asp_usd]])</f>
        <v>9.6158721445288897</v>
      </c>
      <c r="Z39">
        <f>SKEW(Table1[log(estimated_asp_usd)])</f>
        <v>-2.8993473795412101</v>
      </c>
      <c r="AA39">
        <v>16.100000000000001</v>
      </c>
      <c r="AB39">
        <f>SKEW(Table1[estimated_revenue_usd_m])</f>
        <v>5.8862244869270315</v>
      </c>
      <c r="AC39">
        <f>LN(1+Table1[[#This Row],[estimated_revenue_usd_m]])</f>
        <v>2.8390784635086144</v>
      </c>
      <c r="AD39">
        <f>SKEW(Table1[log(estimated_revenue_usd)])</f>
        <v>0.29428154884363278</v>
      </c>
      <c r="AE39" t="s">
        <v>72</v>
      </c>
      <c r="BD39" s="7">
        <v>32</v>
      </c>
      <c r="BE39" s="7">
        <v>123</v>
      </c>
      <c r="BF39" s="7">
        <v>220</v>
      </c>
      <c r="BG39" s="7">
        <v>747</v>
      </c>
      <c r="BH39" s="7">
        <v>15000</v>
      </c>
      <c r="BI39" s="7">
        <v>11.2</v>
      </c>
    </row>
    <row r="40" spans="1:61" x14ac:dyDescent="0.35">
      <c r="A40">
        <v>2024</v>
      </c>
      <c r="B40" t="s">
        <v>52</v>
      </c>
      <c r="C40" t="s">
        <v>81</v>
      </c>
      <c r="D40" s="1" t="d">
        <v>2024-05-07</v>
      </c>
      <c r="E40" s="11">
        <f>Table1[[#This Row],[year]]-YEAR(Table1[[#This Row],[launch_date]])</f>
        <v>0</v>
      </c>
      <c r="F40">
        <v>16</v>
      </c>
      <c r="G40">
        <f>SKEW(Table1[memory_gb])</f>
        <v>4.4615286901097004</v>
      </c>
      <c r="H40">
        <f>LN(1+Table1[[#This Row],[memory_gb]])</f>
        <v>2.8332133440562162</v>
      </c>
      <c r="I40">
        <f>SKEW(Table1[log(memory_gb)])</f>
        <v>-0.12349734745152563</v>
      </c>
      <c r="J40">
        <v>38</v>
      </c>
      <c r="K40" cm="1">
        <f t="array" ref="K40">SKEW(Table1[fp16_tflops])</f>
        <v>3.0570434318989719</v>
      </c>
      <c r="L40">
        <f>LN(1+Table1[[#This Row],[fp16_tflops]])</f>
        <v>3.6635616461296463</v>
      </c>
      <c r="M40">
        <f t="shared" si="3"/>
        <v>-7.6309386179811173E-2</v>
      </c>
      <c r="N40">
        <v>23</v>
      </c>
      <c r="O40" cm="1">
        <f t="array" ref="O40">SKEW(Table1[tdp_watts])</f>
        <v>6.0149845187563606</v>
      </c>
      <c r="P40">
        <f>LN(1+Table1[[#This Row],[tdp_watts]])</f>
        <v>3.1780538303479458</v>
      </c>
      <c r="Q40" s="10">
        <f>(Table1[[#This Row],[fp16_tflops]]/Table1[[#This Row],[tdp_watts]])</f>
        <v>1.6521739130434783</v>
      </c>
      <c r="R40">
        <f>SKEW(Table1[log(tdp_watts)])</f>
        <v>1.0730603511378074</v>
      </c>
      <c r="S40">
        <v>174</v>
      </c>
      <c r="T40">
        <f>SKEW(Table1[estimated_shipments_units])</f>
        <v>5.1829756087773573</v>
      </c>
      <c r="U40">
        <f>LN(1+Table1[[#This Row],[estimated_shipments_units]])</f>
        <v>5.1647859739235145</v>
      </c>
      <c r="V40">
        <f t="shared" si="4"/>
        <v>-2.1553396117170581E-2</v>
      </c>
      <c r="W40">
        <v>15000</v>
      </c>
      <c r="X40">
        <f>SKEW(Table1[estimated_asp_usd])</f>
        <v>6.1553602568167474</v>
      </c>
      <c r="Y40">
        <f>LN(1+Table1[[#This Row],[estimated_asp_usd]])</f>
        <v>9.6158721445288897</v>
      </c>
      <c r="Z40">
        <f>SKEW(Table1[log(estimated_asp_usd)])</f>
        <v>-2.8993473795412101</v>
      </c>
      <c r="AA40">
        <v>2.6</v>
      </c>
      <c r="AB40">
        <f>SKEW(Table1[estimated_revenue_usd_m])</f>
        <v>5.8862244869270315</v>
      </c>
      <c r="AC40">
        <f>LN(1+Table1[[#This Row],[estimated_revenue_usd_m]])</f>
        <v>1.2809338454620642</v>
      </c>
      <c r="AD40">
        <f>SKEW(Table1[log(estimated_revenue_usd)])</f>
        <v>0.29428154884363278</v>
      </c>
      <c r="AE40" t="s">
        <v>82</v>
      </c>
      <c r="BD40" s="6">
        <v>32</v>
      </c>
      <c r="BE40" s="6">
        <v>123</v>
      </c>
      <c r="BF40" s="6">
        <v>220</v>
      </c>
      <c r="BG40" s="6">
        <v>361</v>
      </c>
      <c r="BH40" s="6">
        <v>15000</v>
      </c>
      <c r="BI40" s="6">
        <v>5.4</v>
      </c>
    </row>
    <row r="41" spans="1:61" x14ac:dyDescent="0.35">
      <c r="A41">
        <v>2025</v>
      </c>
      <c r="B41" t="s">
        <v>52</v>
      </c>
      <c r="C41" t="s">
        <v>81</v>
      </c>
      <c r="D41" s="1" t="d">
        <v>2024-05-07</v>
      </c>
      <c r="E41" s="11">
        <f>Table1[[#This Row],[year]]-YEAR(Table1[[#This Row],[launch_date]])</f>
        <v>1</v>
      </c>
      <c r="F41">
        <v>16</v>
      </c>
      <c r="G41">
        <f>SKEW(Table1[memory_gb])</f>
        <v>4.4615286901097004</v>
      </c>
      <c r="H41">
        <f>LN(1+Table1[[#This Row],[memory_gb]])</f>
        <v>2.8332133440562162</v>
      </c>
      <c r="I41">
        <f>SKEW(Table1[log(memory_gb)])</f>
        <v>-0.12349734745152563</v>
      </c>
      <c r="J41">
        <v>38</v>
      </c>
      <c r="K41" cm="1">
        <f t="array" ref="K41">SKEW(Table1[fp16_tflops])</f>
        <v>3.0570434318989719</v>
      </c>
      <c r="L41">
        <f>LN(1+Table1[[#This Row],[fp16_tflops]])</f>
        <v>3.6635616461296463</v>
      </c>
      <c r="M41">
        <f t="shared" si="3"/>
        <v>2.8345452296519493E-2</v>
      </c>
      <c r="N41">
        <v>23</v>
      </c>
      <c r="O41" cm="1">
        <f t="array" ref="O41">SKEW(Table1[tdp_watts])</f>
        <v>6.0149845187563606</v>
      </c>
      <c r="P41">
        <f>LN(1+Table1[[#This Row],[tdp_watts]])</f>
        <v>3.1780538303479458</v>
      </c>
      <c r="Q41" s="10">
        <f>(Table1[[#This Row],[fp16_tflops]]/Table1[[#This Row],[tdp_watts]])</f>
        <v>1.6521739130434783</v>
      </c>
      <c r="R41">
        <f>SKEW(Table1[log(tdp_watts)])</f>
        <v>1.0730603511378074</v>
      </c>
      <c r="S41">
        <v>1082</v>
      </c>
      <c r="T41">
        <f>SKEW(Table1[estimated_shipments_units])</f>
        <v>5.1829756087773573</v>
      </c>
      <c r="U41">
        <f>LN(1+Table1[[#This Row],[estimated_shipments_units]])</f>
        <v>6.9874902470009905</v>
      </c>
      <c r="V41">
        <f t="shared" si="4"/>
        <v>-4.6856026058043017E-2</v>
      </c>
      <c r="W41">
        <v>15000</v>
      </c>
      <c r="X41">
        <f>SKEW(Table1[estimated_asp_usd])</f>
        <v>6.1553602568167474</v>
      </c>
      <c r="Y41">
        <f>LN(1+Table1[[#This Row],[estimated_asp_usd]])</f>
        <v>9.6158721445288897</v>
      </c>
      <c r="Z41">
        <f>SKEW(Table1[log(estimated_asp_usd)])</f>
        <v>-2.8993473795412101</v>
      </c>
      <c r="AA41">
        <v>16.2</v>
      </c>
      <c r="AB41">
        <f>SKEW(Table1[estimated_revenue_usd_m])</f>
        <v>5.8862244869270315</v>
      </c>
      <c r="AC41">
        <f>LN(1+Table1[[#This Row],[estimated_revenue_usd_m]])</f>
        <v>2.8449093838194073</v>
      </c>
      <c r="AD41">
        <f>SKEW(Table1[log(estimated_revenue_usd)])</f>
        <v>0.29428154884363278</v>
      </c>
      <c r="AE41" t="s">
        <v>82</v>
      </c>
      <c r="BD41" s="7">
        <v>32</v>
      </c>
      <c r="BE41" s="7">
        <v>123</v>
      </c>
      <c r="BF41" s="7">
        <v>220</v>
      </c>
      <c r="BG41" s="7">
        <v>160</v>
      </c>
      <c r="BH41" s="7">
        <v>15000</v>
      </c>
      <c r="BI41" s="7">
        <v>2.4</v>
      </c>
    </row>
    <row r="42" spans="1:61" x14ac:dyDescent="0.35">
      <c r="A42">
        <v>2026</v>
      </c>
      <c r="B42" t="s">
        <v>52</v>
      </c>
      <c r="C42" t="s">
        <v>81</v>
      </c>
      <c r="D42" s="1" t="d">
        <v>2024-05-07</v>
      </c>
      <c r="E42" s="11">
        <f>Table1[[#This Row],[year]]-YEAR(Table1[[#This Row],[launch_date]])</f>
        <v>2</v>
      </c>
      <c r="F42">
        <v>16</v>
      </c>
      <c r="G42">
        <f>SKEW(Table1[memory_gb])</f>
        <v>4.4615286901097004</v>
      </c>
      <c r="H42">
        <f>LN(1+Table1[[#This Row],[memory_gb]])</f>
        <v>2.8332133440562162</v>
      </c>
      <c r="I42">
        <f>SKEW(Table1[log(memory_gb)])</f>
        <v>-0.12349734745152563</v>
      </c>
      <c r="J42">
        <v>38</v>
      </c>
      <c r="K42" cm="1">
        <f t="array" ref="K42">SKEW(Table1[fp16_tflops])</f>
        <v>3.0570434318989719</v>
      </c>
      <c r="L42">
        <f>LN(1+Table1[[#This Row],[fp16_tflops]])</f>
        <v>3.6635616461296463</v>
      </c>
      <c r="M42">
        <f t="shared" si="3"/>
        <v>0.17655790386639991</v>
      </c>
      <c r="N42">
        <v>23</v>
      </c>
      <c r="O42" cm="1">
        <f t="array" ref="O42">SKEW(Table1[tdp_watts])</f>
        <v>6.0149845187563606</v>
      </c>
      <c r="P42">
        <f>LN(1+Table1[[#This Row],[tdp_watts]])</f>
        <v>3.1780538303479458</v>
      </c>
      <c r="Q42" s="10">
        <f>(Table1[[#This Row],[fp16_tflops]]/Table1[[#This Row],[tdp_watts]])</f>
        <v>1.6521739130434783</v>
      </c>
      <c r="R42">
        <f>SKEW(Table1[log(tdp_watts)])</f>
        <v>1.0730603511378074</v>
      </c>
      <c r="S42">
        <v>776</v>
      </c>
      <c r="T42">
        <f>SKEW(Table1[estimated_shipments_units])</f>
        <v>5.1829756087773573</v>
      </c>
      <c r="U42">
        <f>LN(1+Table1[[#This Row],[estimated_shipments_units]])</f>
        <v>6.6554403503676474</v>
      </c>
      <c r="V42">
        <f t="shared" si="4"/>
        <v>-6.1741495873150268E-2</v>
      </c>
      <c r="W42">
        <v>15000</v>
      </c>
      <c r="X42">
        <f>SKEW(Table1[estimated_asp_usd])</f>
        <v>6.1553602568167474</v>
      </c>
      <c r="Y42">
        <f>LN(1+Table1[[#This Row],[estimated_asp_usd]])</f>
        <v>9.6158721445288897</v>
      </c>
      <c r="Z42">
        <f>SKEW(Table1[log(estimated_asp_usd)])</f>
        <v>-2.8993473795412101</v>
      </c>
      <c r="AA42">
        <v>11.6</v>
      </c>
      <c r="AB42">
        <f>SKEW(Table1[estimated_revenue_usd_m])</f>
        <v>5.8862244869270315</v>
      </c>
      <c r="AC42">
        <f>LN(1+Table1[[#This Row],[estimated_revenue_usd_m]])</f>
        <v>2.5336968139574321</v>
      </c>
      <c r="AD42">
        <f>SKEW(Table1[log(estimated_revenue_usd)])</f>
        <v>0.29428154884363278</v>
      </c>
      <c r="AE42" t="s">
        <v>82</v>
      </c>
      <c r="BD42" s="6">
        <v>32</v>
      </c>
      <c r="BE42" s="6">
        <v>123</v>
      </c>
      <c r="BF42" s="6">
        <v>220</v>
      </c>
      <c r="BG42" s="6">
        <v>155</v>
      </c>
      <c r="BH42" s="6">
        <v>15000</v>
      </c>
      <c r="BI42" s="6">
        <v>2.2999999999999998</v>
      </c>
    </row>
    <row r="43" spans="1:61" x14ac:dyDescent="0.35">
      <c r="A43">
        <v>2021</v>
      </c>
      <c r="B43" t="s">
        <v>32</v>
      </c>
      <c r="C43" t="s">
        <v>57</v>
      </c>
      <c r="D43" s="1" t="d">
        <v>2021-05-18</v>
      </c>
      <c r="E43" s="11">
        <f>Table1[[#This Row],[year]]-YEAR(Table1[[#This Row],[launch_date]])</f>
        <v>0</v>
      </c>
      <c r="F43">
        <v>32</v>
      </c>
      <c r="G43">
        <f>SKEW(Table1[memory_gb])</f>
        <v>4.4615286901097004</v>
      </c>
      <c r="H43">
        <f>LN(1+Table1[[#This Row],[memory_gb]])</f>
        <v>3.4965075614664802</v>
      </c>
      <c r="I43">
        <f>SKEW(Table1[log(memory_gb)])</f>
        <v>-0.12349734745152563</v>
      </c>
      <c r="J43">
        <v>275</v>
      </c>
      <c r="K43" cm="1">
        <f t="array" ref="K43">SKEW(Table1[fp16_tflops])</f>
        <v>3.0570434318989719</v>
      </c>
      <c r="L43">
        <f>LN(1+Table1[[#This Row],[fp16_tflops]])</f>
        <v>5.6204008657171496</v>
      </c>
      <c r="M43">
        <f t="shared" si="3"/>
        <v>0.38896870537053135</v>
      </c>
      <c r="N43">
        <v>170</v>
      </c>
      <c r="O43" cm="1">
        <f t="array" ref="O43">SKEW(Table1[tdp_watts])</f>
        <v>6.0149845187563606</v>
      </c>
      <c r="P43">
        <f>LN(1+Table1[[#This Row],[tdp_watts]])</f>
        <v>5.1416635565026603</v>
      </c>
      <c r="Q43" s="10">
        <f>(Table1[[#This Row],[fp16_tflops]]/Table1[[#This Row],[tdp_watts]])</f>
        <v>1.6176470588235294</v>
      </c>
      <c r="R43">
        <f>SKEW(Table1[log(tdp_watts)])</f>
        <v>1.0730603511378074</v>
      </c>
      <c r="S43">
        <v>148</v>
      </c>
      <c r="T43">
        <f>SKEW(Table1[estimated_shipments_units])</f>
        <v>5.1829756087773573</v>
      </c>
      <c r="U43">
        <f>LN(1+Table1[[#This Row],[estimated_shipments_units]])</f>
        <v>5.0039463059454592</v>
      </c>
      <c r="V43">
        <f t="shared" si="4"/>
        <v>-7.994605753994885E-2</v>
      </c>
      <c r="W43">
        <v>15000</v>
      </c>
      <c r="X43">
        <f>SKEW(Table1[estimated_asp_usd])</f>
        <v>6.1553602568167474</v>
      </c>
      <c r="Y43">
        <f>LN(1+Table1[[#This Row],[estimated_asp_usd]])</f>
        <v>9.6158721445288897</v>
      </c>
      <c r="Z43">
        <f>SKEW(Table1[log(estimated_asp_usd)])</f>
        <v>-2.8993473795412101</v>
      </c>
      <c r="AA43">
        <v>2.2000000000000002</v>
      </c>
      <c r="AB43">
        <f>SKEW(Table1[estimated_revenue_usd_m])</f>
        <v>5.8862244869270315</v>
      </c>
      <c r="AC43">
        <f>LN(1+Table1[[#This Row],[estimated_revenue_usd_m]])</f>
        <v>1.1631508098056809</v>
      </c>
      <c r="AD43">
        <f>SKEW(Table1[log(estimated_revenue_usd)])</f>
        <v>0.29428154884363278</v>
      </c>
      <c r="AE43" t="s">
        <v>59</v>
      </c>
      <c r="BD43" s="7">
        <v>32</v>
      </c>
      <c r="BE43" s="7">
        <v>123</v>
      </c>
      <c r="BF43" s="7">
        <v>220</v>
      </c>
      <c r="BG43" s="7">
        <v>121</v>
      </c>
      <c r="BH43" s="7">
        <v>15000</v>
      </c>
      <c r="BI43" s="7">
        <v>1.8</v>
      </c>
    </row>
    <row r="44" spans="1:61" x14ac:dyDescent="0.35">
      <c r="A44">
        <v>2022</v>
      </c>
      <c r="B44" t="s">
        <v>32</v>
      </c>
      <c r="C44" t="s">
        <v>57</v>
      </c>
      <c r="D44" s="1" t="d">
        <v>2021-05-18</v>
      </c>
      <c r="E44" s="11">
        <f>Table1[[#This Row],[year]]-YEAR(Table1[[#This Row],[launch_date]])</f>
        <v>1</v>
      </c>
      <c r="F44">
        <v>32</v>
      </c>
      <c r="G44">
        <f>SKEW(Table1[memory_gb])</f>
        <v>4.4615286901097004</v>
      </c>
      <c r="H44">
        <f>LN(1+Table1[[#This Row],[memory_gb]])</f>
        <v>3.4965075614664802</v>
      </c>
      <c r="I44">
        <f>SKEW(Table1[log(memory_gb)])</f>
        <v>-0.12349734745152563</v>
      </c>
      <c r="J44">
        <v>275</v>
      </c>
      <c r="K44" cm="1">
        <f t="array" ref="K44">SKEW(Table1[fp16_tflops])</f>
        <v>3.0570434318989719</v>
      </c>
      <c r="L44">
        <f>LN(1+Table1[[#This Row],[fp16_tflops]])</f>
        <v>5.6204008657171496</v>
      </c>
      <c r="M44">
        <f t="shared" si="3"/>
        <v>0.37984855305919746</v>
      </c>
      <c r="N44">
        <v>170</v>
      </c>
      <c r="O44" cm="1">
        <f t="array" ref="O44">SKEW(Table1[tdp_watts])</f>
        <v>6.0149845187563606</v>
      </c>
      <c r="P44">
        <f>LN(1+Table1[[#This Row],[tdp_watts]])</f>
        <v>5.1416635565026603</v>
      </c>
      <c r="Q44" s="10">
        <f>(Table1[[#This Row],[fp16_tflops]]/Table1[[#This Row],[tdp_watts]])</f>
        <v>1.6176470588235294</v>
      </c>
      <c r="R44">
        <f>SKEW(Table1[log(tdp_watts)])</f>
        <v>1.0730603511378074</v>
      </c>
      <c r="S44">
        <v>1195</v>
      </c>
      <c r="T44">
        <f>SKEW(Table1[estimated_shipments_units])</f>
        <v>5.1829756087773573</v>
      </c>
      <c r="U44">
        <f>LN(1+Table1[[#This Row],[estimated_shipments_units]])</f>
        <v>7.0867379345105768</v>
      </c>
      <c r="V44">
        <f t="shared" si="4"/>
        <v>-0.10719000495867703</v>
      </c>
      <c r="W44">
        <v>15000</v>
      </c>
      <c r="X44">
        <f>SKEW(Table1[estimated_asp_usd])</f>
        <v>6.1553602568167474</v>
      </c>
      <c r="Y44">
        <f>LN(1+Table1[[#This Row],[estimated_asp_usd]])</f>
        <v>9.6158721445288897</v>
      </c>
      <c r="Z44">
        <f>SKEW(Table1[log(estimated_asp_usd)])</f>
        <v>-2.8993473795412101</v>
      </c>
      <c r="AA44">
        <v>17.899999999999999</v>
      </c>
      <c r="AB44">
        <f>SKEW(Table1[estimated_revenue_usd_m])</f>
        <v>5.8862244869270315</v>
      </c>
      <c r="AC44">
        <f>LN(1+Table1[[#This Row],[estimated_revenue_usd_m]])</f>
        <v>2.9391619220655967</v>
      </c>
      <c r="AD44">
        <f>SKEW(Table1[log(estimated_revenue_usd)])</f>
        <v>0.29428154884363278</v>
      </c>
      <c r="AE44" t="s">
        <v>59</v>
      </c>
      <c r="BD44" s="6">
        <v>32</v>
      </c>
      <c r="BE44" s="6">
        <v>123</v>
      </c>
      <c r="BF44" s="6">
        <v>220</v>
      </c>
      <c r="BG44" s="6">
        <v>177</v>
      </c>
      <c r="BH44" s="6">
        <v>15000</v>
      </c>
      <c r="BI44" s="6">
        <v>2.7</v>
      </c>
    </row>
    <row r="45" spans="1:61" x14ac:dyDescent="0.35">
      <c r="A45">
        <v>2023</v>
      </c>
      <c r="B45" t="s">
        <v>32</v>
      </c>
      <c r="C45" t="s">
        <v>57</v>
      </c>
      <c r="D45" s="1" t="d">
        <v>2021-05-18</v>
      </c>
      <c r="E45" s="11">
        <f>Table1[[#This Row],[year]]-YEAR(Table1[[#This Row],[launch_date]])</f>
        <v>2</v>
      </c>
      <c r="F45">
        <v>32</v>
      </c>
      <c r="G45">
        <f>SKEW(Table1[memory_gb])</f>
        <v>4.4615286901097004</v>
      </c>
      <c r="H45">
        <f>LN(1+Table1[[#This Row],[memory_gb]])</f>
        <v>3.4965075614664802</v>
      </c>
      <c r="I45">
        <f>SKEW(Table1[log(memory_gb)])</f>
        <v>-0.12349734745152563</v>
      </c>
      <c r="J45">
        <v>275</v>
      </c>
      <c r="K45" cm="1">
        <f t="array" ref="K45">SKEW(Table1[fp16_tflops])</f>
        <v>3.0570434318989719</v>
      </c>
      <c r="L45">
        <f>LN(1+Table1[[#This Row],[fp16_tflops]])</f>
        <v>5.6204008657171496</v>
      </c>
      <c r="M45">
        <f t="shared" si="3"/>
        <v>0.37061822505853376</v>
      </c>
      <c r="N45">
        <v>170</v>
      </c>
      <c r="O45" cm="1">
        <f t="array" ref="O45">SKEW(Table1[tdp_watts])</f>
        <v>6.0149845187563606</v>
      </c>
      <c r="P45">
        <f>LN(1+Table1[[#This Row],[tdp_watts]])</f>
        <v>5.1416635565026603</v>
      </c>
      <c r="Q45" s="10">
        <f>(Table1[[#This Row],[fp16_tflops]]/Table1[[#This Row],[tdp_watts]])</f>
        <v>1.6176470588235294</v>
      </c>
      <c r="R45">
        <f>SKEW(Table1[log(tdp_watts)])</f>
        <v>1.0730603511378074</v>
      </c>
      <c r="S45">
        <v>878</v>
      </c>
      <c r="T45">
        <f>SKEW(Table1[estimated_shipments_units])</f>
        <v>5.1829756087773573</v>
      </c>
      <c r="U45">
        <f>LN(1+Table1[[#This Row],[estimated_shipments_units]])</f>
        <v>6.7787848976851768</v>
      </c>
      <c r="V45">
        <f t="shared" si="4"/>
        <v>-0.12220488474217703</v>
      </c>
      <c r="W45">
        <v>15000</v>
      </c>
      <c r="X45">
        <f>SKEW(Table1[estimated_asp_usd])</f>
        <v>6.1553602568167474</v>
      </c>
      <c r="Y45">
        <f>LN(1+Table1[[#This Row],[estimated_asp_usd]])</f>
        <v>9.6158721445288897</v>
      </c>
      <c r="Z45">
        <f>SKEW(Table1[log(estimated_asp_usd)])</f>
        <v>-2.8993473795412101</v>
      </c>
      <c r="AA45">
        <v>13.2</v>
      </c>
      <c r="AB45">
        <f>SKEW(Table1[estimated_revenue_usd_m])</f>
        <v>5.8862244869270315</v>
      </c>
      <c r="AC45">
        <f>LN(1+Table1[[#This Row],[estimated_revenue_usd_m]])</f>
        <v>2.653241964607215</v>
      </c>
      <c r="AD45">
        <f>SKEW(Table1[log(estimated_revenue_usd)])</f>
        <v>0.29428154884363278</v>
      </c>
      <c r="AE45" t="s">
        <v>59</v>
      </c>
      <c r="BD45" s="7">
        <v>32</v>
      </c>
      <c r="BE45" s="7">
        <v>123</v>
      </c>
      <c r="BF45" s="7">
        <v>220</v>
      </c>
      <c r="BG45" s="7">
        <v>147</v>
      </c>
      <c r="BH45" s="7">
        <v>15000</v>
      </c>
      <c r="BI45" s="7">
        <v>2.2000000000000002</v>
      </c>
    </row>
    <row r="46" spans="1:61" x14ac:dyDescent="0.35">
      <c r="A46">
        <v>2024</v>
      </c>
      <c r="B46" t="s">
        <v>32</v>
      </c>
      <c r="C46" t="s">
        <v>57</v>
      </c>
      <c r="D46" s="1" t="d">
        <v>2021-05-18</v>
      </c>
      <c r="E46" s="11">
        <f>Table1[[#This Row],[year]]-YEAR(Table1[[#This Row],[launch_date]])</f>
        <v>3</v>
      </c>
      <c r="F46">
        <v>32</v>
      </c>
      <c r="G46">
        <f>SKEW(Table1[memory_gb])</f>
        <v>4.4615286901097004</v>
      </c>
      <c r="H46">
        <f>LN(1+Table1[[#This Row],[memory_gb]])</f>
        <v>3.4965075614664802</v>
      </c>
      <c r="I46">
        <f>SKEW(Table1[log(memory_gb)])</f>
        <v>-0.12349734745152563</v>
      </c>
      <c r="J46">
        <v>275</v>
      </c>
      <c r="K46" cm="1">
        <f t="array" ref="K46">SKEW(Table1[fp16_tflops])</f>
        <v>3.0570434318989719</v>
      </c>
      <c r="L46">
        <f>LN(1+Table1[[#This Row],[fp16_tflops]])</f>
        <v>5.6204008657171496</v>
      </c>
      <c r="M46">
        <f t="shared" si="3"/>
        <v>0.3612743691385461</v>
      </c>
      <c r="N46">
        <v>170</v>
      </c>
      <c r="O46" cm="1">
        <f t="array" ref="O46">SKEW(Table1[tdp_watts])</f>
        <v>6.0149845187563606</v>
      </c>
      <c r="P46">
        <f>LN(1+Table1[[#This Row],[tdp_watts]])</f>
        <v>5.1416635565026603</v>
      </c>
      <c r="Q46" s="10">
        <f>(Table1[[#This Row],[fp16_tflops]]/Table1[[#This Row],[tdp_watts]])</f>
        <v>1.6176470588235294</v>
      </c>
      <c r="R46">
        <f>SKEW(Table1[log(tdp_watts)])</f>
        <v>1.0730603511378074</v>
      </c>
      <c r="S46">
        <v>330</v>
      </c>
      <c r="T46">
        <f>SKEW(Table1[estimated_shipments_units])</f>
        <v>5.1829756087773573</v>
      </c>
      <c r="U46">
        <f>LN(1+Table1[[#This Row],[estimated_shipments_units]])</f>
        <v>5.8021183753770629</v>
      </c>
      <c r="V46">
        <f t="shared" si="4"/>
        <v>-0.14055485073654719</v>
      </c>
      <c r="W46">
        <v>15000</v>
      </c>
      <c r="X46">
        <f>SKEW(Table1[estimated_asp_usd])</f>
        <v>6.1553602568167474</v>
      </c>
      <c r="Y46">
        <f>LN(1+Table1[[#This Row],[estimated_asp_usd]])</f>
        <v>9.6158721445288897</v>
      </c>
      <c r="Z46">
        <f>SKEW(Table1[log(estimated_asp_usd)])</f>
        <v>-2.8993473795412101</v>
      </c>
      <c r="AA46">
        <v>5</v>
      </c>
      <c r="AB46">
        <f>SKEW(Table1[estimated_revenue_usd_m])</f>
        <v>5.8862244869270315</v>
      </c>
      <c r="AC46">
        <f>LN(1+Table1[[#This Row],[estimated_revenue_usd_m]])</f>
        <v>1.791759469228055</v>
      </c>
      <c r="AD46">
        <f>SKEW(Table1[log(estimated_revenue_usd)])</f>
        <v>0.29428154884363278</v>
      </c>
      <c r="AE46" t="s">
        <v>59</v>
      </c>
      <c r="BD46" s="6">
        <v>32</v>
      </c>
      <c r="BE46" s="6">
        <v>275</v>
      </c>
      <c r="BF46" s="6">
        <v>170</v>
      </c>
      <c r="BG46" s="6">
        <v>148</v>
      </c>
      <c r="BH46" s="6">
        <v>15000</v>
      </c>
      <c r="BI46" s="6">
        <v>2.2000000000000002</v>
      </c>
    </row>
    <row r="47" spans="1:61" x14ac:dyDescent="0.35">
      <c r="A47">
        <v>2025</v>
      </c>
      <c r="B47" t="s">
        <v>32</v>
      </c>
      <c r="C47" t="s">
        <v>57</v>
      </c>
      <c r="D47" s="1" t="d">
        <v>2021-05-18</v>
      </c>
      <c r="E47" s="11">
        <f>Table1[[#This Row],[year]]-YEAR(Table1[[#This Row],[launch_date]])</f>
        <v>4</v>
      </c>
      <c r="F47">
        <v>32</v>
      </c>
      <c r="G47">
        <f>SKEW(Table1[memory_gb])</f>
        <v>4.4615286901097004</v>
      </c>
      <c r="H47">
        <f>LN(1+Table1[[#This Row],[memory_gb]])</f>
        <v>3.4965075614664802</v>
      </c>
      <c r="I47">
        <f>SKEW(Table1[log(memory_gb)])</f>
        <v>-0.12349734745152563</v>
      </c>
      <c r="J47">
        <v>275</v>
      </c>
      <c r="K47" cm="1">
        <f t="array" ref="K47">SKEW(Table1[fp16_tflops])</f>
        <v>3.0570434318989719</v>
      </c>
      <c r="L47">
        <f>LN(1+Table1[[#This Row],[fp16_tflops]])</f>
        <v>5.6204008657171496</v>
      </c>
      <c r="M47">
        <f t="shared" si="3"/>
        <v>0.35181347576213257</v>
      </c>
      <c r="N47">
        <v>170</v>
      </c>
      <c r="O47" cm="1">
        <f t="array" ref="O47">SKEW(Table1[tdp_watts])</f>
        <v>6.0149845187563606</v>
      </c>
      <c r="P47">
        <f>LN(1+Table1[[#This Row],[tdp_watts]])</f>
        <v>5.1416635565026603</v>
      </c>
      <c r="Q47" s="10">
        <f>(Table1[[#This Row],[fp16_tflops]]/Table1[[#This Row],[tdp_watts]])</f>
        <v>1.6176470588235294</v>
      </c>
      <c r="R47">
        <f>SKEW(Table1[log(tdp_watts)])</f>
        <v>1.0730603511378074</v>
      </c>
      <c r="S47">
        <v>195</v>
      </c>
      <c r="T47">
        <f>SKEW(Table1[estimated_shipments_units])</f>
        <v>5.1829756087773573</v>
      </c>
      <c r="U47">
        <f>LN(1+Table1[[#This Row],[estimated_shipments_units]])</f>
        <v>5.2781146592305168</v>
      </c>
      <c r="V47">
        <f t="shared" si="4"/>
        <v>-0.16699542785874466</v>
      </c>
      <c r="W47">
        <v>15000</v>
      </c>
      <c r="X47">
        <f>SKEW(Table1[estimated_asp_usd])</f>
        <v>6.1553602568167474</v>
      </c>
      <c r="Y47">
        <f>LN(1+Table1[[#This Row],[estimated_asp_usd]])</f>
        <v>9.6158721445288897</v>
      </c>
      <c r="Z47">
        <f>SKEW(Table1[log(estimated_asp_usd)])</f>
        <v>-2.8993473795412101</v>
      </c>
      <c r="AA47">
        <v>2.9</v>
      </c>
      <c r="AB47">
        <f>SKEW(Table1[estimated_revenue_usd_m])</f>
        <v>5.8862244869270315</v>
      </c>
      <c r="AC47">
        <f>LN(1+Table1[[#This Row],[estimated_revenue_usd_m]])</f>
        <v>1.3609765531356006</v>
      </c>
      <c r="AD47">
        <f>SKEW(Table1[log(estimated_revenue_usd)])</f>
        <v>0.29428154884363278</v>
      </c>
      <c r="AE47" t="s">
        <v>59</v>
      </c>
      <c r="BD47" s="7">
        <v>32</v>
      </c>
      <c r="BE47" s="7">
        <v>275</v>
      </c>
      <c r="BF47" s="7">
        <v>170</v>
      </c>
      <c r="BG47" s="7">
        <v>1195</v>
      </c>
      <c r="BH47" s="7">
        <v>15000</v>
      </c>
      <c r="BI47" s="7">
        <v>17.899999999999999</v>
      </c>
    </row>
    <row r="48" spans="1:61" x14ac:dyDescent="0.35">
      <c r="A48">
        <v>2026</v>
      </c>
      <c r="B48" t="s">
        <v>32</v>
      </c>
      <c r="C48" t="s">
        <v>57</v>
      </c>
      <c r="D48" s="1" t="d">
        <v>2021-05-18</v>
      </c>
      <c r="E48" s="11">
        <f>Table1[[#This Row],[year]]-YEAR(Table1[[#This Row],[launch_date]])</f>
        <v>5</v>
      </c>
      <c r="F48">
        <v>32</v>
      </c>
      <c r="G48">
        <f>SKEW(Table1[memory_gb])</f>
        <v>4.4615286901097004</v>
      </c>
      <c r="H48">
        <f>LN(1+Table1[[#This Row],[memory_gb]])</f>
        <v>3.4965075614664802</v>
      </c>
      <c r="I48">
        <f>SKEW(Table1[log(memory_gb)])</f>
        <v>-0.12349734745152563</v>
      </c>
      <c r="J48">
        <v>275</v>
      </c>
      <c r="K48" cm="1">
        <f t="array" ref="K48">SKEW(Table1[fp16_tflops])</f>
        <v>3.0570434318989719</v>
      </c>
      <c r="L48">
        <f>LN(1+Table1[[#This Row],[fp16_tflops]])</f>
        <v>5.6204008657171496</v>
      </c>
      <c r="M48">
        <f t="shared" si="3"/>
        <v>0.34223186816146789</v>
      </c>
      <c r="N48">
        <v>170</v>
      </c>
      <c r="O48" cm="1">
        <f t="array" ref="O48">SKEW(Table1[tdp_watts])</f>
        <v>6.0149845187563606</v>
      </c>
      <c r="P48">
        <f>LN(1+Table1[[#This Row],[tdp_watts]])</f>
        <v>5.1416635565026603</v>
      </c>
      <c r="Q48" s="10">
        <f>(Table1[[#This Row],[fp16_tflops]]/Table1[[#This Row],[tdp_watts]])</f>
        <v>1.6176470588235294</v>
      </c>
      <c r="R48">
        <f>SKEW(Table1[log(tdp_watts)])</f>
        <v>1.0730603511378074</v>
      </c>
      <c r="S48">
        <v>165</v>
      </c>
      <c r="T48">
        <f>SKEW(Table1[estimated_shipments_units])</f>
        <v>5.1829756087773573</v>
      </c>
      <c r="U48">
        <f>LN(1+Table1[[#This Row],[estimated_shipments_units]])</f>
        <v>5.1119877883565437</v>
      </c>
      <c r="V48">
        <f t="shared" si="4"/>
        <v>-0.19653653563432447</v>
      </c>
      <c r="W48">
        <v>15000</v>
      </c>
      <c r="X48">
        <f>SKEW(Table1[estimated_asp_usd])</f>
        <v>6.1553602568167474</v>
      </c>
      <c r="Y48">
        <f>LN(1+Table1[[#This Row],[estimated_asp_usd]])</f>
        <v>9.6158721445288897</v>
      </c>
      <c r="Z48">
        <f>SKEW(Table1[log(estimated_asp_usd)])</f>
        <v>-2.8993473795412101</v>
      </c>
      <c r="AA48">
        <v>2.5</v>
      </c>
      <c r="AB48">
        <f>SKEW(Table1[estimated_revenue_usd_m])</f>
        <v>5.8862244869270315</v>
      </c>
      <c r="AC48">
        <f>LN(1+Table1[[#This Row],[estimated_revenue_usd_m]])</f>
        <v>1.2527629684953681</v>
      </c>
      <c r="AD48">
        <f>SKEW(Table1[log(estimated_revenue_usd)])</f>
        <v>0.29428154884363278</v>
      </c>
      <c r="AE48" t="s">
        <v>59</v>
      </c>
      <c r="BD48" s="6">
        <v>32</v>
      </c>
      <c r="BE48" s="6">
        <v>275</v>
      </c>
      <c r="BF48" s="6">
        <v>170</v>
      </c>
      <c r="BG48" s="6">
        <v>878</v>
      </c>
      <c r="BH48" s="6">
        <v>15000</v>
      </c>
      <c r="BI48" s="6">
        <v>13.2</v>
      </c>
    </row>
    <row r="49" spans="1:61" x14ac:dyDescent="0.35">
      <c r="A49">
        <v>2023</v>
      </c>
      <c r="B49" t="s">
        <v>18</v>
      </c>
      <c r="C49" t="s">
        <v>12</v>
      </c>
      <c r="D49" s="1" t="d">
        <v>2023-03-22</v>
      </c>
      <c r="E49" s="11">
        <f>Table1[[#This Row],[year]]-YEAR(Table1[[#This Row],[launch_date]])</f>
        <v>0</v>
      </c>
      <c r="F49">
        <v>80</v>
      </c>
      <c r="G49">
        <f>SKEW(Table1[memory_gb])</f>
        <v>4.4615286901097004</v>
      </c>
      <c r="H49">
        <f>LN(1+Table1[[#This Row],[memory_gb]])</f>
        <v>4.3944491546724391</v>
      </c>
      <c r="I49">
        <f>SKEW(Table1[log(memory_gb)])</f>
        <v>-0.12349734745152563</v>
      </c>
      <c r="J49">
        <v>989</v>
      </c>
      <c r="K49" cm="1">
        <f t="array" ref="K49">SKEW(Table1[fp16_tflops])</f>
        <v>3.0570434318989719</v>
      </c>
      <c r="L49">
        <f>LN(1+Table1[[#This Row],[fp16_tflops]])</f>
        <v>6.8977049431286357</v>
      </c>
      <c r="M49">
        <f t="shared" si="3"/>
        <v>0.33252569162721574</v>
      </c>
      <c r="N49">
        <v>700</v>
      </c>
      <c r="O49" cm="1">
        <f t="array" ref="O49">SKEW(Table1[tdp_watts])</f>
        <v>6.0149845187563606</v>
      </c>
      <c r="P49">
        <f>LN(1+Table1[[#This Row],[tdp_watts]])</f>
        <v>6.5525078870345901</v>
      </c>
      <c r="Q49" s="10">
        <f>(Table1[[#This Row],[fp16_tflops]]/Table1[[#This Row],[tdp_watts]])</f>
        <v>1.4128571428571428</v>
      </c>
      <c r="R49">
        <f>SKEW(Table1[log(tdp_watts)])</f>
        <v>1.0730603511378074</v>
      </c>
      <c r="S49">
        <v>582977</v>
      </c>
      <c r="T49">
        <f>SKEW(Table1[estimated_shipments_units])</f>
        <v>5.1829756087773573</v>
      </c>
      <c r="U49">
        <f>LN(1+Table1[[#This Row],[estimated_shipments_units]])</f>
        <v>13.275904728771557</v>
      </c>
      <c r="V49">
        <f t="shared" si="4"/>
        <v>-0.22743339213827352</v>
      </c>
      <c r="W49">
        <v>30000</v>
      </c>
      <c r="X49">
        <f>SKEW(Table1[estimated_asp_usd])</f>
        <v>6.1553602568167474</v>
      </c>
      <c r="Y49">
        <f>LN(1+Table1[[#This Row],[estimated_asp_usd]])</f>
        <v>10.308985993422082</v>
      </c>
      <c r="Z49">
        <f>SKEW(Table1[log(estimated_asp_usd)])</f>
        <v>-2.8993473795412101</v>
      </c>
      <c r="AA49">
        <v>17489.3</v>
      </c>
      <c r="AB49">
        <f>SKEW(Table1[estimated_revenue_usd_m])</f>
        <v>5.8862244869270315</v>
      </c>
      <c r="AC49">
        <f>LN(1+Table1[[#This Row],[estimated_revenue_usd_m]])</f>
        <v>9.7694017205242041</v>
      </c>
      <c r="AD49">
        <f>SKEW(Table1[log(estimated_revenue_usd)])</f>
        <v>0.29428154884363278</v>
      </c>
      <c r="AE49" t="s">
        <v>21</v>
      </c>
      <c r="BD49" s="7">
        <v>32</v>
      </c>
      <c r="BE49" s="7">
        <v>275</v>
      </c>
      <c r="BF49" s="7">
        <v>170</v>
      </c>
      <c r="BG49" s="7">
        <v>330</v>
      </c>
      <c r="BH49" s="7">
        <v>15000</v>
      </c>
      <c r="BI49" s="7">
        <v>5</v>
      </c>
    </row>
    <row r="50" spans="1:61" x14ac:dyDescent="0.35">
      <c r="A50">
        <v>2024</v>
      </c>
      <c r="B50" t="s">
        <v>18</v>
      </c>
      <c r="C50" t="s">
        <v>12</v>
      </c>
      <c r="D50" s="1" t="d">
        <v>2023-03-22</v>
      </c>
      <c r="E50" s="11">
        <f>Table1[[#This Row],[year]]-YEAR(Table1[[#This Row],[launch_date]])</f>
        <v>1</v>
      </c>
      <c r="F50">
        <v>80</v>
      </c>
      <c r="G50">
        <f>SKEW(Table1[memory_gb])</f>
        <v>4.4615286901097004</v>
      </c>
      <c r="H50">
        <f>LN(1+Table1[[#This Row],[memory_gb]])</f>
        <v>4.3944491546724391</v>
      </c>
      <c r="I50">
        <f>SKEW(Table1[log(memory_gb)])</f>
        <v>-0.12349734745152563</v>
      </c>
      <c r="J50">
        <v>989</v>
      </c>
      <c r="K50" cm="1">
        <f t="array" ref="K50">SKEW(Table1[fp16_tflops])</f>
        <v>3.0570434318989719</v>
      </c>
      <c r="L50">
        <f>LN(1+Table1[[#This Row],[fp16_tflops]])</f>
        <v>6.8977049431286357</v>
      </c>
      <c r="M50">
        <f t="shared" si="3"/>
        <v>0.36154460777590203</v>
      </c>
      <c r="N50">
        <v>700</v>
      </c>
      <c r="O50" cm="1">
        <f t="array" ref="O50">SKEW(Table1[tdp_watts])</f>
        <v>6.0149845187563606</v>
      </c>
      <c r="P50">
        <f>LN(1+Table1[[#This Row],[tdp_watts]])</f>
        <v>6.5525078870345901</v>
      </c>
      <c r="Q50" s="10">
        <f>(Table1[[#This Row],[fp16_tflops]]/Table1[[#This Row],[tdp_watts]])</f>
        <v>1.4128571428571428</v>
      </c>
      <c r="R50">
        <f>SKEW(Table1[log(tdp_watts)])</f>
        <v>1.0730603511378074</v>
      </c>
      <c r="S50">
        <v>2466989</v>
      </c>
      <c r="T50">
        <f>SKEW(Table1[estimated_shipments_units])</f>
        <v>5.1829756087773573</v>
      </c>
      <c r="U50">
        <f>LN(1+Table1[[#This Row],[estimated_shipments_units]])</f>
        <v>14.718509341996995</v>
      </c>
      <c r="V50">
        <f t="shared" si="4"/>
        <v>-0.21230371011985272</v>
      </c>
      <c r="W50">
        <v>30000</v>
      </c>
      <c r="X50">
        <f>SKEW(Table1[estimated_asp_usd])</f>
        <v>6.1553602568167474</v>
      </c>
      <c r="Y50">
        <f>LN(1+Table1[[#This Row],[estimated_asp_usd]])</f>
        <v>10.308985993422082</v>
      </c>
      <c r="Z50">
        <f>SKEW(Table1[log(estimated_asp_usd)])</f>
        <v>-2.8993473795412101</v>
      </c>
      <c r="AA50">
        <v>74009.7</v>
      </c>
      <c r="AB50">
        <f>SKEW(Table1[estimated_revenue_usd_m])</f>
        <v>5.8862244869270315</v>
      </c>
      <c r="AC50">
        <f>LN(1+Table1[[#This Row],[estimated_revenue_usd_m]])</f>
        <v>11.21196495632811</v>
      </c>
      <c r="AD50">
        <f>SKEW(Table1[log(estimated_revenue_usd)])</f>
        <v>0.29428154884363278</v>
      </c>
      <c r="AE50" t="s">
        <v>21</v>
      </c>
      <c r="BD50" s="6">
        <v>32</v>
      </c>
      <c r="BE50" s="6">
        <v>275</v>
      </c>
      <c r="BF50" s="6">
        <v>170</v>
      </c>
      <c r="BG50" s="6">
        <v>195</v>
      </c>
      <c r="BH50" s="6">
        <v>15000</v>
      </c>
      <c r="BI50" s="6">
        <v>2.9</v>
      </c>
    </row>
    <row r="51" spans="1:61" x14ac:dyDescent="0.35">
      <c r="A51">
        <v>2025</v>
      </c>
      <c r="B51" t="s">
        <v>18</v>
      </c>
      <c r="C51" t="s">
        <v>12</v>
      </c>
      <c r="D51" s="1" t="d">
        <v>2023-03-22</v>
      </c>
      <c r="E51" s="11">
        <f>Table1[[#This Row],[year]]-YEAR(Table1[[#This Row],[launch_date]])</f>
        <v>2</v>
      </c>
      <c r="F51">
        <v>80</v>
      </c>
      <c r="G51">
        <f>SKEW(Table1[memory_gb])</f>
        <v>4.4615286901097004</v>
      </c>
      <c r="H51">
        <f>LN(1+Table1[[#This Row],[memory_gb]])</f>
        <v>4.3944491546724391</v>
      </c>
      <c r="I51">
        <f>SKEW(Table1[log(memory_gb)])</f>
        <v>-0.12349734745152563</v>
      </c>
      <c r="J51">
        <v>989</v>
      </c>
      <c r="K51" cm="1">
        <f t="array" ref="K51">SKEW(Table1[fp16_tflops])</f>
        <v>3.0570434318989719</v>
      </c>
      <c r="L51">
        <f>LN(1+Table1[[#This Row],[fp16_tflops]])</f>
        <v>6.8977049431286357</v>
      </c>
      <c r="M51">
        <f t="shared" si="3"/>
        <v>0.39095915493212829</v>
      </c>
      <c r="N51">
        <v>700</v>
      </c>
      <c r="O51" cm="1">
        <f t="array" ref="O51">SKEW(Table1[tdp_watts])</f>
        <v>6.0149845187563606</v>
      </c>
      <c r="P51">
        <f>LN(1+Table1[[#This Row],[tdp_watts]])</f>
        <v>6.5525078870345901</v>
      </c>
      <c r="Q51" s="10">
        <f>(Table1[[#This Row],[fp16_tflops]]/Table1[[#This Row],[tdp_watts]])</f>
        <v>1.4128571428571428</v>
      </c>
      <c r="R51">
        <f>SKEW(Table1[log(tdp_watts)])</f>
        <v>1.0730603511378074</v>
      </c>
      <c r="S51">
        <v>1874943</v>
      </c>
      <c r="T51">
        <f>SKEW(Table1[estimated_shipments_units])</f>
        <v>5.1829756087773573</v>
      </c>
      <c r="U51">
        <f>LN(1+Table1[[#This Row],[estimated_shipments_units]])</f>
        <v>14.444089350273964</v>
      </c>
      <c r="V51">
        <f t="shared" si="4"/>
        <v>-0.23462890248489182</v>
      </c>
      <c r="W51">
        <v>30000</v>
      </c>
      <c r="X51">
        <f>SKEW(Table1[estimated_asp_usd])</f>
        <v>6.1553602568167474</v>
      </c>
      <c r="Y51">
        <f>LN(1+Table1[[#This Row],[estimated_asp_usd]])</f>
        <v>10.308985993422082</v>
      </c>
      <c r="Z51">
        <f>SKEW(Table1[log(estimated_asp_usd)])</f>
        <v>-2.8993473795412101</v>
      </c>
      <c r="AA51">
        <v>56248.3</v>
      </c>
      <c r="AB51">
        <f>SKEW(Table1[estimated_revenue_usd_m])</f>
        <v>5.8862244869270315</v>
      </c>
      <c r="AC51">
        <f>LN(1+Table1[[#This Row],[estimated_revenue_usd_m]])</f>
        <v>10.93754887554479</v>
      </c>
      <c r="AD51">
        <f>SKEW(Table1[log(estimated_revenue_usd)])</f>
        <v>0.29428154884363278</v>
      </c>
      <c r="AE51" t="s">
        <v>21</v>
      </c>
      <c r="BD51" s="7">
        <v>32</v>
      </c>
      <c r="BE51" s="7">
        <v>275</v>
      </c>
      <c r="BF51" s="7">
        <v>170</v>
      </c>
      <c r="BG51" s="7">
        <v>165</v>
      </c>
      <c r="BH51" s="7">
        <v>15000</v>
      </c>
      <c r="BI51" s="7">
        <v>2.5</v>
      </c>
    </row>
    <row r="52" spans="1:61" x14ac:dyDescent="0.35">
      <c r="A52">
        <v>2026</v>
      </c>
      <c r="B52" t="s">
        <v>18</v>
      </c>
      <c r="C52" t="s">
        <v>12</v>
      </c>
      <c r="D52" s="1" t="d">
        <v>2023-03-22</v>
      </c>
      <c r="E52" s="11">
        <f>Table1[[#This Row],[year]]-YEAR(Table1[[#This Row],[launch_date]])</f>
        <v>3</v>
      </c>
      <c r="F52">
        <v>80</v>
      </c>
      <c r="G52">
        <f>SKEW(Table1[memory_gb])</f>
        <v>4.4615286901097004</v>
      </c>
      <c r="H52">
        <f>LN(1+Table1[[#This Row],[memory_gb]])</f>
        <v>4.3944491546724391</v>
      </c>
      <c r="I52">
        <f>SKEW(Table1[log(memory_gb)])</f>
        <v>-0.12349734745152563</v>
      </c>
      <c r="J52">
        <v>989</v>
      </c>
      <c r="K52" cm="1">
        <f t="array" ref="K52">SKEW(Table1[fp16_tflops])</f>
        <v>3.0570434318989719</v>
      </c>
      <c r="L52">
        <f>LN(1+Table1[[#This Row],[fp16_tflops]])</f>
        <v>6.8977049431286357</v>
      </c>
      <c r="M52">
        <f t="shared" si="3"/>
        <v>0.42067438629838566</v>
      </c>
      <c r="N52">
        <v>700</v>
      </c>
      <c r="O52" cm="1">
        <f t="array" ref="O52">SKEW(Table1[tdp_watts])</f>
        <v>6.0149845187563606</v>
      </c>
      <c r="P52">
        <f>LN(1+Table1[[#This Row],[tdp_watts]])</f>
        <v>6.5525078870345901</v>
      </c>
      <c r="Q52" s="10">
        <f>(Table1[[#This Row],[fp16_tflops]]/Table1[[#This Row],[tdp_watts]])</f>
        <v>1.4128571428571428</v>
      </c>
      <c r="R52">
        <f>SKEW(Table1[log(tdp_watts)])</f>
        <v>1.0730603511378074</v>
      </c>
      <c r="S52">
        <v>1126912</v>
      </c>
      <c r="T52">
        <f>SKEW(Table1[estimated_shipments_units])</f>
        <v>5.1829756087773573</v>
      </c>
      <c r="U52">
        <f>LN(1+Table1[[#This Row],[estimated_shipments_units]])</f>
        <v>13.934992593946312</v>
      </c>
      <c r="V52">
        <f t="shared" si="4"/>
        <v>-0.25545353205663773</v>
      </c>
      <c r="W52">
        <v>30000</v>
      </c>
      <c r="X52">
        <f>SKEW(Table1[estimated_asp_usd])</f>
        <v>6.1553602568167474</v>
      </c>
      <c r="Y52">
        <f>LN(1+Table1[[#This Row],[estimated_asp_usd]])</f>
        <v>10.308985993422082</v>
      </c>
      <c r="Z52">
        <f>SKEW(Table1[log(estimated_asp_usd)])</f>
        <v>-2.8993473795412101</v>
      </c>
      <c r="AA52">
        <v>33807.4</v>
      </c>
      <c r="AB52">
        <f>SKEW(Table1[estimated_revenue_usd_m])</f>
        <v>5.8862244869270315</v>
      </c>
      <c r="AC52">
        <f>LN(1+Table1[[#This Row],[estimated_revenue_usd_m]])</f>
        <v>10.428464571305014</v>
      </c>
      <c r="AD52">
        <f>SKEW(Table1[log(estimated_revenue_usd)])</f>
        <v>0.29428154884363278</v>
      </c>
      <c r="AE52" t="s">
        <v>21</v>
      </c>
      <c r="BD52" s="6">
        <v>16</v>
      </c>
      <c r="BE52" s="6">
        <v>197</v>
      </c>
      <c r="BF52" s="6">
        <v>170</v>
      </c>
      <c r="BG52" s="6">
        <v>59908</v>
      </c>
      <c r="BH52" s="6">
        <v>15000</v>
      </c>
      <c r="BI52" s="6">
        <v>898.6</v>
      </c>
    </row>
    <row r="53" spans="1:61" x14ac:dyDescent="0.35">
      <c r="A53">
        <v>2024</v>
      </c>
      <c r="B53" t="s">
        <v>19</v>
      </c>
      <c r="C53" t="s">
        <v>12</v>
      </c>
      <c r="D53" s="1" t="d">
        <v>2024-04-15</v>
      </c>
      <c r="E53" s="11">
        <f>Table1[[#This Row],[year]]-YEAR(Table1[[#This Row],[launch_date]])</f>
        <v>0</v>
      </c>
      <c r="F53">
        <v>141</v>
      </c>
      <c r="G53">
        <f>SKEW(Table1[memory_gb])</f>
        <v>4.4615286901097004</v>
      </c>
      <c r="H53">
        <f>LN(1+Table1[[#This Row],[memory_gb]])</f>
        <v>4.9558270576012609</v>
      </c>
      <c r="I53">
        <f>SKEW(Table1[log(memory_gb)])</f>
        <v>-0.12349734745152563</v>
      </c>
      <c r="J53">
        <v>989</v>
      </c>
      <c r="K53" cm="1">
        <f t="array" ref="K53">SKEW(Table1[fp16_tflops])</f>
        <v>3.0570434318989719</v>
      </c>
      <c r="L53">
        <f>LN(1+Table1[[#This Row],[fp16_tflops]])</f>
        <v>6.8977049431286357</v>
      </c>
      <c r="M53">
        <f t="shared" si="3"/>
        <v>0.45055109251713665</v>
      </c>
      <c r="N53">
        <v>700</v>
      </c>
      <c r="O53" cm="1">
        <f t="array" ref="O53">SKEW(Table1[tdp_watts])</f>
        <v>6.0149845187563606</v>
      </c>
      <c r="P53">
        <f>LN(1+Table1[[#This Row],[tdp_watts]])</f>
        <v>6.5525078870345901</v>
      </c>
      <c r="Q53" s="10">
        <f>(Table1[[#This Row],[fp16_tflops]]/Table1[[#This Row],[tdp_watts]])</f>
        <v>1.4128571428571428</v>
      </c>
      <c r="R53">
        <f>SKEW(Table1[log(tdp_watts)])</f>
        <v>1.0730603511378074</v>
      </c>
      <c r="S53">
        <v>115829</v>
      </c>
      <c r="T53">
        <f>SKEW(Table1[estimated_shipments_units])</f>
        <v>5.1829756087773573</v>
      </c>
      <c r="U53">
        <f>LN(1+Table1[[#This Row],[estimated_shipments_units]])</f>
        <v>11.659878877926392</v>
      </c>
      <c r="V53">
        <f t="shared" si="4"/>
        <v>-0.2662526755343943</v>
      </c>
      <c r="W53">
        <v>32000</v>
      </c>
      <c r="X53">
        <f>SKEW(Table1[estimated_asp_usd])</f>
        <v>6.1553602568167474</v>
      </c>
      <c r="Y53">
        <f>LN(1+Table1[[#This Row],[estimated_asp_usd]])</f>
        <v>10.373522431293592</v>
      </c>
      <c r="Z53">
        <f>SKEW(Table1[log(estimated_asp_usd)])</f>
        <v>-2.8993473795412101</v>
      </c>
      <c r="AA53">
        <v>3706.5</v>
      </c>
      <c r="AB53">
        <f>SKEW(Table1[estimated_revenue_usd_m])</f>
        <v>5.8862244869270315</v>
      </c>
      <c r="AC53">
        <f>LN(1+Table1[[#This Row],[estimated_revenue_usd_m]])</f>
        <v>8.2181130740120878</v>
      </c>
      <c r="AD53">
        <f>SKEW(Table1[log(estimated_revenue_usd)])</f>
        <v>0.29428154884363278</v>
      </c>
      <c r="AE53" t="s">
        <v>26</v>
      </c>
      <c r="BD53" s="7">
        <v>16</v>
      </c>
      <c r="BE53" s="7">
        <v>197</v>
      </c>
      <c r="BF53" s="7">
        <v>170</v>
      </c>
      <c r="BG53" s="7">
        <v>761631</v>
      </c>
      <c r="BH53" s="7">
        <v>15000</v>
      </c>
      <c r="BI53" s="7">
        <v>11424.5</v>
      </c>
    </row>
    <row r="54" spans="1:61" x14ac:dyDescent="0.35">
      <c r="A54">
        <v>2025</v>
      </c>
      <c r="B54" t="s">
        <v>19</v>
      </c>
      <c r="C54" t="s">
        <v>12</v>
      </c>
      <c r="D54" s="1" t="d">
        <v>2024-04-15</v>
      </c>
      <c r="E54" s="11">
        <f>Table1[[#This Row],[year]]-YEAR(Table1[[#This Row],[launch_date]])</f>
        <v>1</v>
      </c>
      <c r="F54">
        <v>141</v>
      </c>
      <c r="G54">
        <f>SKEW(Table1[memory_gb])</f>
        <v>4.4615286901097004</v>
      </c>
      <c r="H54">
        <f>LN(1+Table1[[#This Row],[memory_gb]])</f>
        <v>4.9558270576012609</v>
      </c>
      <c r="I54">
        <f>SKEW(Table1[log(memory_gb)])</f>
        <v>-0.12349734745152563</v>
      </c>
      <c r="J54">
        <v>989</v>
      </c>
      <c r="K54" cm="1">
        <f t="array" ref="K54">SKEW(Table1[fp16_tflops])</f>
        <v>3.0570434318989719</v>
      </c>
      <c r="L54">
        <f>LN(1+Table1[[#This Row],[fp16_tflops]])</f>
        <v>6.8977049431286357</v>
      </c>
      <c r="M54">
        <f t="shared" si="3"/>
        <v>0.48038758283859884</v>
      </c>
      <c r="N54">
        <v>700</v>
      </c>
      <c r="O54" cm="1">
        <f t="array" ref="O54">SKEW(Table1[tdp_watts])</f>
        <v>6.0149845187563606</v>
      </c>
      <c r="P54">
        <f>LN(1+Table1[[#This Row],[tdp_watts]])</f>
        <v>6.5525078870345901</v>
      </c>
      <c r="Q54" s="10">
        <f>(Table1[[#This Row],[fp16_tflops]]/Table1[[#This Row],[tdp_watts]])</f>
        <v>1.4128571428571428</v>
      </c>
      <c r="R54">
        <f>SKEW(Table1[log(tdp_watts)])</f>
        <v>1.0730603511378074</v>
      </c>
      <c r="S54">
        <v>573022</v>
      </c>
      <c r="T54">
        <f>SKEW(Table1[estimated_shipments_units])</f>
        <v>5.1829756087773573</v>
      </c>
      <c r="U54">
        <f>LN(1+Table1[[#This Row],[estimated_shipments_units]])</f>
        <v>13.258681134507359</v>
      </c>
      <c r="V54">
        <f t="shared" si="4"/>
        <v>-0.24050089814014547</v>
      </c>
      <c r="W54">
        <v>32000</v>
      </c>
      <c r="X54">
        <f>SKEW(Table1[estimated_asp_usd])</f>
        <v>6.1553602568167474</v>
      </c>
      <c r="Y54">
        <f>LN(1+Table1[[#This Row],[estimated_asp_usd]])</f>
        <v>10.373522431293592</v>
      </c>
      <c r="Z54">
        <f>SKEW(Table1[log(estimated_asp_usd)])</f>
        <v>-2.8993473795412101</v>
      </c>
      <c r="AA54">
        <v>18336.7</v>
      </c>
      <c r="AB54">
        <f>SKEW(Table1[estimated_revenue_usd_m])</f>
        <v>5.8862244869270315</v>
      </c>
      <c r="AC54">
        <f>LN(1+Table1[[#This Row],[estimated_revenue_usd_m]])</f>
        <v>9.8167143290038936</v>
      </c>
      <c r="AD54">
        <f>SKEW(Table1[log(estimated_revenue_usd)])</f>
        <v>0.29428154884363278</v>
      </c>
      <c r="AE54" t="s">
        <v>26</v>
      </c>
      <c r="BD54" s="6">
        <v>16</v>
      </c>
      <c r="BE54" s="6">
        <v>197</v>
      </c>
      <c r="BF54" s="6">
        <v>170</v>
      </c>
      <c r="BG54" s="6">
        <v>491607</v>
      </c>
      <c r="BH54" s="6">
        <v>15000</v>
      </c>
      <c r="BI54" s="6">
        <v>7374.1</v>
      </c>
    </row>
    <row r="55" spans="1:61" x14ac:dyDescent="0.35">
      <c r="A55">
        <v>2026</v>
      </c>
      <c r="B55" t="s">
        <v>19</v>
      </c>
      <c r="C55" t="s">
        <v>12</v>
      </c>
      <c r="D55" s="1" t="d">
        <v>2024-04-15</v>
      </c>
      <c r="E55" s="11">
        <f>Table1[[#This Row],[year]]-YEAR(Table1[[#This Row],[launch_date]])</f>
        <v>2</v>
      </c>
      <c r="F55">
        <v>141</v>
      </c>
      <c r="G55">
        <f>SKEW(Table1[memory_gb])</f>
        <v>4.4615286901097004</v>
      </c>
      <c r="H55">
        <f>LN(1+Table1[[#This Row],[memory_gb]])</f>
        <v>4.9558270576012609</v>
      </c>
      <c r="I55">
        <f>SKEW(Table1[log(memory_gb)])</f>
        <v>-0.12349734745152563</v>
      </c>
      <c r="J55">
        <v>989</v>
      </c>
      <c r="K55" cm="1">
        <f t="array" ref="K55">SKEW(Table1[fp16_tflops])</f>
        <v>3.0570434318989719</v>
      </c>
      <c r="L55">
        <f>LN(1+Table1[[#This Row],[fp16_tflops]])</f>
        <v>6.8977049431286357</v>
      </c>
      <c r="M55">
        <f t="shared" si="3"/>
        <v>0.50989304343407882</v>
      </c>
      <c r="N55">
        <v>700</v>
      </c>
      <c r="O55" cm="1">
        <f t="array" ref="O55">SKEW(Table1[tdp_watts])</f>
        <v>6.0149845187563606</v>
      </c>
      <c r="P55">
        <f>LN(1+Table1[[#This Row],[tdp_watts]])</f>
        <v>6.5525078870345901</v>
      </c>
      <c r="Q55" s="10">
        <f>(Table1[[#This Row],[fp16_tflops]]/Table1[[#This Row],[tdp_watts]])</f>
        <v>1.4128571428571428</v>
      </c>
      <c r="R55">
        <f>SKEW(Table1[log(tdp_watts)])</f>
        <v>1.0730603511378074</v>
      </c>
      <c r="S55">
        <v>487597</v>
      </c>
      <c r="T55">
        <f>SKEW(Table1[estimated_shipments_units])</f>
        <v>5.1829756087773573</v>
      </c>
      <c r="U55">
        <f>LN(1+Table1[[#This Row],[estimated_shipments_units]])</f>
        <v>13.097246574858119</v>
      </c>
      <c r="V55">
        <f t="shared" si="4"/>
        <v>-0.23691034017082493</v>
      </c>
      <c r="W55">
        <v>32000</v>
      </c>
      <c r="X55">
        <f>SKEW(Table1[estimated_asp_usd])</f>
        <v>6.1553602568167474</v>
      </c>
      <c r="Y55">
        <f>LN(1+Table1[[#This Row],[estimated_asp_usd]])</f>
        <v>10.373522431293592</v>
      </c>
      <c r="Z55">
        <f>SKEW(Table1[log(estimated_asp_usd)])</f>
        <v>-2.8993473795412101</v>
      </c>
      <c r="AA55">
        <v>15603.1</v>
      </c>
      <c r="AB55">
        <f>SKEW(Table1[estimated_revenue_usd_m])</f>
        <v>5.8862244869270315</v>
      </c>
      <c r="AC55">
        <f>LN(1+Table1[[#This Row],[estimated_revenue_usd_m]])</f>
        <v>9.6552889792191881</v>
      </c>
      <c r="AD55">
        <f>SKEW(Table1[log(estimated_revenue_usd)])</f>
        <v>0.29428154884363278</v>
      </c>
      <c r="AE55" t="s">
        <v>26</v>
      </c>
      <c r="BD55" s="7">
        <v>16</v>
      </c>
      <c r="BE55" s="7">
        <v>197</v>
      </c>
      <c r="BF55" s="7">
        <v>170</v>
      </c>
      <c r="BG55" s="7">
        <v>238991</v>
      </c>
      <c r="BH55" s="7">
        <v>15000</v>
      </c>
      <c r="BI55" s="7">
        <v>3584.9</v>
      </c>
    </row>
    <row r="56" spans="1:61" x14ac:dyDescent="0.35">
      <c r="A56">
        <v>2023</v>
      </c>
      <c r="B56" t="s">
        <v>49</v>
      </c>
      <c r="C56" t="s">
        <v>75</v>
      </c>
      <c r="D56" s="1" t="d">
        <v>2023-08-29</v>
      </c>
      <c r="E56" s="11">
        <f>Table1[[#This Row],[year]]-YEAR(Table1[[#This Row],[launch_date]])</f>
        <v>0</v>
      </c>
      <c r="F56">
        <v>64</v>
      </c>
      <c r="G56">
        <f>SKEW(Table1[memory_gb])</f>
        <v>4.4615286901097004</v>
      </c>
      <c r="H56">
        <f>LN(1+Table1[[#This Row],[memory_gb]])</f>
        <v>4.1743872698956368</v>
      </c>
      <c r="I56">
        <f>SKEW(Table1[log(memory_gb)])</f>
        <v>-0.12349734745152563</v>
      </c>
      <c r="J56">
        <v>512</v>
      </c>
      <c r="K56" cm="1">
        <f t="array" ref="K56">SKEW(Table1[fp16_tflops])</f>
        <v>3.0570434318989719</v>
      </c>
      <c r="L56">
        <f>LN(1+Table1[[#This Row],[fp16_tflops]])</f>
        <v>6.2402758451707694</v>
      </c>
      <c r="M56">
        <f t="shared" si="3"/>
        <v>0.53864791416321378</v>
      </c>
      <c r="N56">
        <v>392</v>
      </c>
      <c r="O56" cm="1">
        <f t="array" ref="O56">SKEW(Table1[tdp_watts])</f>
        <v>6.0149845187563606</v>
      </c>
      <c r="P56">
        <f>LN(1+Table1[[#This Row],[tdp_watts]])</f>
        <v>5.9738096118692612</v>
      </c>
      <c r="Q56" s="10">
        <f>(Table1[[#This Row],[fp16_tflops]]/Table1[[#This Row],[tdp_watts]])</f>
        <v>1.3061224489795917</v>
      </c>
      <c r="R56">
        <f>SKEW(Table1[log(tdp_watts)])</f>
        <v>1.0730603511378074</v>
      </c>
      <c r="S56">
        <v>31695</v>
      </c>
      <c r="T56">
        <f>SKEW(Table1[estimated_shipments_units])</f>
        <v>5.1829756087773573</v>
      </c>
      <c r="U56">
        <f>LN(1+Table1[[#This Row],[estimated_shipments_units]])</f>
        <v>10.363945768938333</v>
      </c>
      <c r="V56">
        <f t="shared" si="4"/>
        <v>-0.23216707123381983</v>
      </c>
      <c r="W56">
        <v>15000</v>
      </c>
      <c r="X56">
        <f>SKEW(Table1[estimated_asp_usd])</f>
        <v>6.1553602568167474</v>
      </c>
      <c r="Y56">
        <f>LN(1+Table1[[#This Row],[estimated_asp_usd]])</f>
        <v>9.6158721445288897</v>
      </c>
      <c r="Z56">
        <f>SKEW(Table1[log(estimated_asp_usd)])</f>
        <v>-2.8993473795412101</v>
      </c>
      <c r="AA56">
        <v>475.4</v>
      </c>
      <c r="AB56">
        <f>SKEW(Table1[estimated_revenue_usd_m])</f>
        <v>5.8862244869270315</v>
      </c>
      <c r="AC56">
        <f>LN(1+Table1[[#This Row],[estimated_revenue_usd_m]])</f>
        <v>6.1662578374811448</v>
      </c>
      <c r="AD56">
        <f>SKEW(Table1[log(estimated_revenue_usd)])</f>
        <v>0.29428154884363278</v>
      </c>
      <c r="AE56" t="s">
        <v>77</v>
      </c>
      <c r="BD56" s="6">
        <v>96</v>
      </c>
      <c r="BE56" s="6">
        <v>459</v>
      </c>
      <c r="BF56" s="6">
        <v>170</v>
      </c>
      <c r="BG56" s="6">
        <v>0</v>
      </c>
      <c r="BH56" s="6">
        <v>0</v>
      </c>
      <c r="BI56" s="6">
        <v>0</v>
      </c>
    </row>
    <row r="57" spans="1:61" x14ac:dyDescent="0.35">
      <c r="A57">
        <v>2024</v>
      </c>
      <c r="B57" t="s">
        <v>49</v>
      </c>
      <c r="C57" t="s">
        <v>75</v>
      </c>
      <c r="D57" s="1" t="d">
        <v>2023-08-29</v>
      </c>
      <c r="E57" s="11">
        <f>Table1[[#This Row],[year]]-YEAR(Table1[[#This Row],[launch_date]])</f>
        <v>1</v>
      </c>
      <c r="F57">
        <v>64</v>
      </c>
      <c r="G57">
        <f>SKEW(Table1[memory_gb])</f>
        <v>4.4615286901097004</v>
      </c>
      <c r="H57">
        <f>LN(1+Table1[[#This Row],[memory_gb]])</f>
        <v>4.1743872698956368</v>
      </c>
      <c r="I57">
        <f>SKEW(Table1[log(memory_gb)])</f>
        <v>-0.12349734745152563</v>
      </c>
      <c r="J57">
        <v>512</v>
      </c>
      <c r="K57" cm="1">
        <f t="array" ref="K57">SKEW(Table1[fp16_tflops])</f>
        <v>3.0570434318989719</v>
      </c>
      <c r="L57">
        <f>LN(1+Table1[[#This Row],[fp16_tflops]])</f>
        <v>6.2402758451707694</v>
      </c>
      <c r="M57">
        <f t="shared" si="3"/>
        <v>0.57474222271038089</v>
      </c>
      <c r="N57">
        <v>392</v>
      </c>
      <c r="O57" cm="1">
        <f t="array" ref="O57">SKEW(Table1[tdp_watts])</f>
        <v>6.0149845187563606</v>
      </c>
      <c r="P57">
        <f>LN(1+Table1[[#This Row],[tdp_watts]])</f>
        <v>5.9738096118692612</v>
      </c>
      <c r="Q57" s="10">
        <f>(Table1[[#This Row],[fp16_tflops]]/Table1[[#This Row],[tdp_watts]])</f>
        <v>1.3061224489795917</v>
      </c>
      <c r="R57">
        <f>SKEW(Table1[log(tdp_watts)])</f>
        <v>1.0730603511378074</v>
      </c>
      <c r="S57">
        <v>327421</v>
      </c>
      <c r="T57">
        <f>SKEW(Table1[estimated_shipments_units])</f>
        <v>5.1829756087773573</v>
      </c>
      <c r="U57">
        <f>LN(1+Table1[[#This Row],[estimated_shipments_units]])</f>
        <v>12.699005137752025</v>
      </c>
      <c r="V57">
        <f t="shared" si="4"/>
        <v>-0.20557188575865104</v>
      </c>
      <c r="W57">
        <v>15000</v>
      </c>
      <c r="X57">
        <f>SKEW(Table1[estimated_asp_usd])</f>
        <v>6.1553602568167474</v>
      </c>
      <c r="Y57">
        <f>LN(1+Table1[[#This Row],[estimated_asp_usd]])</f>
        <v>9.6158721445288897</v>
      </c>
      <c r="Z57">
        <f>SKEW(Table1[log(estimated_asp_usd)])</f>
        <v>-2.8993473795412101</v>
      </c>
      <c r="AA57">
        <v>4911.3</v>
      </c>
      <c r="AB57">
        <f>SKEW(Table1[estimated_revenue_usd_m])</f>
        <v>5.8862244869270315</v>
      </c>
      <c r="AC57">
        <f>LN(1+Table1[[#This Row],[estimated_revenue_usd_m]])</f>
        <v>8.4994975428805475</v>
      </c>
      <c r="AD57">
        <f>SKEW(Table1[log(estimated_revenue_usd)])</f>
        <v>0.29428154884363278</v>
      </c>
      <c r="AE57" t="s">
        <v>77</v>
      </c>
      <c r="BD57" s="7">
        <v>96</v>
      </c>
      <c r="BE57" s="7">
        <v>459</v>
      </c>
      <c r="BF57" s="7">
        <v>170</v>
      </c>
      <c r="BG57" s="7">
        <v>272799</v>
      </c>
      <c r="BH57" s="7">
        <v>0</v>
      </c>
      <c r="BI57" s="7">
        <v>0</v>
      </c>
    </row>
    <row r="58" spans="1:61" x14ac:dyDescent="0.35">
      <c r="A58">
        <v>2025</v>
      </c>
      <c r="B58" t="s">
        <v>49</v>
      </c>
      <c r="C58" t="s">
        <v>75</v>
      </c>
      <c r="D58" s="1" t="d">
        <v>2023-08-29</v>
      </c>
      <c r="E58" s="11">
        <f>Table1[[#This Row],[year]]-YEAR(Table1[[#This Row],[launch_date]])</f>
        <v>2</v>
      </c>
      <c r="F58">
        <v>64</v>
      </c>
      <c r="G58">
        <f>SKEW(Table1[memory_gb])</f>
        <v>4.4615286901097004</v>
      </c>
      <c r="H58">
        <f>LN(1+Table1[[#This Row],[memory_gb]])</f>
        <v>4.1743872698956368</v>
      </c>
      <c r="I58">
        <f>SKEW(Table1[log(memory_gb)])</f>
        <v>-0.12349734745152563</v>
      </c>
      <c r="J58">
        <v>512</v>
      </c>
      <c r="K58" cm="1">
        <f t="array" ref="K58">SKEW(Table1[fp16_tflops])</f>
        <v>3.0570434318989719</v>
      </c>
      <c r="L58">
        <f>LN(1+Table1[[#This Row],[fp16_tflops]])</f>
        <v>6.2402758451707694</v>
      </c>
      <c r="M58">
        <f t="shared" si="3"/>
        <v>0.61220661121197262</v>
      </c>
      <c r="N58">
        <v>392</v>
      </c>
      <c r="O58" cm="1">
        <f t="array" ref="O58">SKEW(Table1[tdp_watts])</f>
        <v>6.0149845187563606</v>
      </c>
      <c r="P58">
        <f>LN(1+Table1[[#This Row],[tdp_watts]])</f>
        <v>5.9738096118692612</v>
      </c>
      <c r="Q58" s="10">
        <f>(Table1[[#This Row],[fp16_tflops]]/Table1[[#This Row],[tdp_watts]])</f>
        <v>1.3061224489795917</v>
      </c>
      <c r="R58">
        <f>SKEW(Table1[log(tdp_watts)])</f>
        <v>1.0730603511378074</v>
      </c>
      <c r="S58">
        <v>222897</v>
      </c>
      <c r="T58">
        <f>SKEW(Table1[estimated_shipments_units])</f>
        <v>5.1829756087773573</v>
      </c>
      <c r="U58">
        <f>LN(1+Table1[[#This Row],[estimated_shipments_units]])</f>
        <v>12.314469546700238</v>
      </c>
      <c r="V58">
        <f t="shared" si="4"/>
        <v>-0.19307134415178256</v>
      </c>
      <c r="W58">
        <v>15000</v>
      </c>
      <c r="X58">
        <f>SKEW(Table1[estimated_asp_usd])</f>
        <v>6.1553602568167474</v>
      </c>
      <c r="Y58">
        <f>LN(1+Table1[[#This Row],[estimated_asp_usd]])</f>
        <v>9.6158721445288897</v>
      </c>
      <c r="Z58">
        <f>SKEW(Table1[log(estimated_asp_usd)])</f>
        <v>-2.8993473795412101</v>
      </c>
      <c r="AA58">
        <v>3343.5</v>
      </c>
      <c r="AB58">
        <f>SKEW(Table1[estimated_revenue_usd_m])</f>
        <v>5.8862244869270315</v>
      </c>
      <c r="AC58">
        <f>LN(1+Table1[[#This Row],[estimated_revenue_usd_m]])</f>
        <v>8.1150724845584623</v>
      </c>
      <c r="AD58">
        <f>SKEW(Table1[log(estimated_revenue_usd)])</f>
        <v>0.29428154884363278</v>
      </c>
      <c r="AE58" t="s">
        <v>77</v>
      </c>
      <c r="BD58" s="6">
        <v>96</v>
      </c>
      <c r="BE58" s="6">
        <v>459</v>
      </c>
      <c r="BF58" s="6">
        <v>170</v>
      </c>
      <c r="BG58" s="6">
        <v>214821</v>
      </c>
      <c r="BH58" s="6">
        <v>0</v>
      </c>
      <c r="BI58" s="6">
        <v>0</v>
      </c>
    </row>
    <row r="59" spans="1:61" x14ac:dyDescent="0.35">
      <c r="A59">
        <v>2026</v>
      </c>
      <c r="B59" t="s">
        <v>49</v>
      </c>
      <c r="C59" t="s">
        <v>75</v>
      </c>
      <c r="D59" s="1" t="d">
        <v>2023-08-29</v>
      </c>
      <c r="E59" s="11">
        <f>Table1[[#This Row],[year]]-YEAR(Table1[[#This Row],[launch_date]])</f>
        <v>3</v>
      </c>
      <c r="F59">
        <v>64</v>
      </c>
      <c r="G59">
        <f>SKEW(Table1[memory_gb])</f>
        <v>4.4615286901097004</v>
      </c>
      <c r="H59">
        <f>LN(1+Table1[[#This Row],[memory_gb]])</f>
        <v>4.1743872698956368</v>
      </c>
      <c r="I59">
        <f>SKEW(Table1[log(memory_gb)])</f>
        <v>-0.12349734745152563</v>
      </c>
      <c r="J59">
        <v>512</v>
      </c>
      <c r="K59" cm="1">
        <f t="array" ref="K59">SKEW(Table1[fp16_tflops])</f>
        <v>3.0570434318989719</v>
      </c>
      <c r="L59">
        <f>LN(1+Table1[[#This Row],[fp16_tflops]])</f>
        <v>6.2402758451707694</v>
      </c>
      <c r="M59">
        <f t="shared" si="3"/>
        <v>0.65114813134794214</v>
      </c>
      <c r="N59">
        <v>392</v>
      </c>
      <c r="O59" cm="1">
        <f t="array" ref="O59">SKEW(Table1[tdp_watts])</f>
        <v>6.0149845187563606</v>
      </c>
      <c r="P59">
        <f>LN(1+Table1[[#This Row],[tdp_watts]])</f>
        <v>5.9738096118692612</v>
      </c>
      <c r="Q59" s="10">
        <f>(Table1[[#This Row],[fp16_tflops]]/Table1[[#This Row],[tdp_watts]])</f>
        <v>1.3061224489795917</v>
      </c>
      <c r="R59">
        <f>SKEW(Table1[log(tdp_watts)])</f>
        <v>1.0730603511378074</v>
      </c>
      <c r="S59">
        <v>91465</v>
      </c>
      <c r="T59">
        <f>SKEW(Table1[estimated_shipments_units])</f>
        <v>5.1829756087773573</v>
      </c>
      <c r="U59">
        <f>LN(1+Table1[[#This Row],[estimated_shipments_units]])</f>
        <v>11.423722597509459</v>
      </c>
      <c r="V59">
        <f t="shared" si="4"/>
        <v>-0.17449671281811677</v>
      </c>
      <c r="W59">
        <v>15000</v>
      </c>
      <c r="X59">
        <f>SKEW(Table1[estimated_asp_usd])</f>
        <v>6.1553602568167474</v>
      </c>
      <c r="Y59">
        <f>LN(1+Table1[[#This Row],[estimated_asp_usd]])</f>
        <v>9.6158721445288897</v>
      </c>
      <c r="Z59">
        <f>SKEW(Table1[log(estimated_asp_usd)])</f>
        <v>-2.8993473795412101</v>
      </c>
      <c r="AA59">
        <v>1372</v>
      </c>
      <c r="AB59">
        <f>SKEW(Table1[estimated_revenue_usd_m])</f>
        <v>5.8862244869270315</v>
      </c>
      <c r="AC59">
        <f>LN(1+Table1[[#This Row],[estimated_revenue_usd_m]])</f>
        <v>7.224753405767971</v>
      </c>
      <c r="AD59">
        <f>SKEW(Table1[log(estimated_revenue_usd)])</f>
        <v>0.29428154884363278</v>
      </c>
      <c r="AE59" t="s">
        <v>77</v>
      </c>
      <c r="BD59" s="7">
        <v>96</v>
      </c>
      <c r="BE59" s="7">
        <v>459</v>
      </c>
      <c r="BF59" s="7">
        <v>170</v>
      </c>
      <c r="BG59" s="7">
        <v>100220</v>
      </c>
      <c r="BH59" s="7">
        <v>0</v>
      </c>
      <c r="BI59" s="7">
        <v>0</v>
      </c>
    </row>
    <row r="60" spans="1:61" x14ac:dyDescent="0.35">
      <c r="A60">
        <v>2024</v>
      </c>
      <c r="B60" t="s">
        <v>28</v>
      </c>
      <c r="C60" t="s">
        <v>46</v>
      </c>
      <c r="D60" s="1" t="d">
        <v>2024-10-10</v>
      </c>
      <c r="E60" s="11">
        <f>Table1[[#This Row],[year]]-YEAR(Table1[[#This Row],[launch_date]])</f>
        <v>0</v>
      </c>
      <c r="F60">
        <v>256</v>
      </c>
      <c r="G60">
        <f>SKEW(Table1[memory_gb])</f>
        <v>4.4615286901097004</v>
      </c>
      <c r="H60">
        <f>LN(1+Table1[[#This Row],[memory_gb]])</f>
        <v>5.5490760848952201</v>
      </c>
      <c r="I60">
        <f>SKEW(Table1[log(memory_gb)])</f>
        <v>-0.12349734745152563</v>
      </c>
      <c r="J60">
        <v>1300</v>
      </c>
      <c r="K60" cm="1">
        <f t="array" ref="K60">SKEW(Table1[fp16_tflops])</f>
        <v>3.0570434318989719</v>
      </c>
      <c r="L60">
        <f>LN(1+Table1[[#This Row],[fp16_tflops]])</f>
        <v>7.1708884785125049</v>
      </c>
      <c r="M60">
        <f t="shared" si="3"/>
        <v>0.69168609130946646</v>
      </c>
      <c r="N60">
        <v>1000</v>
      </c>
      <c r="O60" cm="1">
        <f t="array" ref="O60">SKEW(Table1[tdp_watts])</f>
        <v>6.0149845187563606</v>
      </c>
      <c r="P60">
        <f>LN(1+Table1[[#This Row],[tdp_watts]])</f>
        <v>6.9087547793152204</v>
      </c>
      <c r="Q60" s="10">
        <f>(Table1[[#This Row],[fp16_tflops]]/Table1[[#This Row],[tdp_watts]])</f>
        <v>1.3</v>
      </c>
      <c r="R60">
        <f>SKEW(Table1[log(tdp_watts)])</f>
        <v>1.0730603511378074</v>
      </c>
      <c r="S60">
        <v>2651</v>
      </c>
      <c r="T60">
        <f>SKEW(Table1[estimated_shipments_units])</f>
        <v>5.1829756087773573</v>
      </c>
      <c r="U60">
        <f>LN(1+Table1[[#This Row],[estimated_shipments_units]])</f>
        <v>7.8830693513057533</v>
      </c>
      <c r="V60">
        <f t="shared" si="4"/>
        <v>-0.14571636938239294</v>
      </c>
      <c r="W60">
        <v>22000</v>
      </c>
      <c r="X60">
        <f>SKEW(Table1[estimated_asp_usd])</f>
        <v>6.1553602568167474</v>
      </c>
      <c r="Y60">
        <f>LN(1+Table1[[#This Row],[estimated_asp_usd]])</f>
        <v>9.9988431858528806</v>
      </c>
      <c r="Z60">
        <f>SKEW(Table1[log(estimated_asp_usd)])</f>
        <v>-2.8993473795412101</v>
      </c>
      <c r="AA60">
        <v>58.3</v>
      </c>
      <c r="AB60">
        <f>SKEW(Table1[estimated_revenue_usd_m])</f>
        <v>5.8862244869270315</v>
      </c>
      <c r="AC60">
        <f>LN(1+Table1[[#This Row],[estimated_revenue_usd_m]])</f>
        <v>4.0826093060036799</v>
      </c>
      <c r="AD60">
        <f>SKEW(Table1[log(estimated_revenue_usd)])</f>
        <v>0.29428154884363278</v>
      </c>
      <c r="AE60" t="s">
        <v>55</v>
      </c>
      <c r="BD60" s="6">
        <v>32</v>
      </c>
      <c r="BE60" s="6">
        <v>926</v>
      </c>
      <c r="BF60" s="6">
        <v>200</v>
      </c>
      <c r="BG60" s="6">
        <v>46633</v>
      </c>
      <c r="BH60" s="6">
        <v>0</v>
      </c>
      <c r="BI60" s="6">
        <v>0</v>
      </c>
    </row>
    <row r="61" spans="1:61" x14ac:dyDescent="0.35">
      <c r="A61">
        <v>2025</v>
      </c>
      <c r="B61" t="s">
        <v>28</v>
      </c>
      <c r="C61" t="s">
        <v>46</v>
      </c>
      <c r="D61" s="1" t="d">
        <v>2024-10-10</v>
      </c>
      <c r="E61" s="11">
        <f>Table1[[#This Row],[year]]-YEAR(Table1[[#This Row],[launch_date]])</f>
        <v>1</v>
      </c>
      <c r="F61">
        <v>256</v>
      </c>
      <c r="G61">
        <f>SKEW(Table1[memory_gb])</f>
        <v>4.4615286901097004</v>
      </c>
      <c r="H61">
        <f>LN(1+Table1[[#This Row],[memory_gb]])</f>
        <v>5.5490760848952201</v>
      </c>
      <c r="I61">
        <f>SKEW(Table1[log(memory_gb)])</f>
        <v>-0.12349734745152563</v>
      </c>
      <c r="J61">
        <v>1300</v>
      </c>
      <c r="K61" cm="1">
        <f t="array" ref="K61">SKEW(Table1[fp16_tflops])</f>
        <v>3.0570434318989719</v>
      </c>
      <c r="L61">
        <f>LN(1+Table1[[#This Row],[fp16_tflops]])</f>
        <v>7.1708884785125049</v>
      </c>
      <c r="M61">
        <f t="shared" si="3"/>
        <v>0.68638683485288599</v>
      </c>
      <c r="N61">
        <v>1000</v>
      </c>
      <c r="O61" cm="1">
        <f t="array" ref="O61">SKEW(Table1[tdp_watts])</f>
        <v>6.0149845187563606</v>
      </c>
      <c r="P61">
        <f>LN(1+Table1[[#This Row],[tdp_watts]])</f>
        <v>6.9087547793152204</v>
      </c>
      <c r="Q61" s="10">
        <f>(Table1[[#This Row],[fp16_tflops]]/Table1[[#This Row],[tdp_watts]])</f>
        <v>1.3</v>
      </c>
      <c r="R61">
        <f>SKEW(Table1[log(tdp_watts)])</f>
        <v>1.0730603511378074</v>
      </c>
      <c r="S61">
        <v>52331</v>
      </c>
      <c r="T61">
        <f>SKEW(Table1[estimated_shipments_units])</f>
        <v>5.1829756087773573</v>
      </c>
      <c r="U61">
        <f>LN(1+Table1[[#This Row],[estimated_shipments_units]])</f>
        <v>10.865363317630766</v>
      </c>
      <c r="V61">
        <f t="shared" si="4"/>
        <v>-0.14496923913887208</v>
      </c>
      <c r="W61">
        <v>22000</v>
      </c>
      <c r="X61">
        <f>SKEW(Table1[estimated_asp_usd])</f>
        <v>6.1553602568167474</v>
      </c>
      <c r="Y61">
        <f>LN(1+Table1[[#This Row],[estimated_asp_usd]])</f>
        <v>9.9988431858528806</v>
      </c>
      <c r="Z61">
        <f>SKEW(Table1[log(estimated_asp_usd)])</f>
        <v>-2.8993473795412101</v>
      </c>
      <c r="AA61">
        <v>1151.3</v>
      </c>
      <c r="AB61">
        <f>SKEW(Table1[estimated_revenue_usd_m])</f>
        <v>5.8862244869270315</v>
      </c>
      <c r="AC61">
        <f>LN(1+Table1[[#This Row],[estimated_revenue_usd_m]])</f>
        <v>7.0495152240199683</v>
      </c>
      <c r="AD61">
        <f>SKEW(Table1[log(estimated_revenue_usd)])</f>
        <v>0.29428154884363278</v>
      </c>
      <c r="AE61" t="s">
        <v>55</v>
      </c>
      <c r="BD61" s="7">
        <v>32</v>
      </c>
      <c r="BE61" s="7">
        <v>926</v>
      </c>
      <c r="BF61" s="7">
        <v>200</v>
      </c>
      <c r="BG61" s="7">
        <v>305904</v>
      </c>
      <c r="BH61" s="7">
        <v>0</v>
      </c>
      <c r="BI61" s="7">
        <v>0</v>
      </c>
    </row>
    <row r="62" spans="1:61" x14ac:dyDescent="0.35">
      <c r="A62">
        <v>2026</v>
      </c>
      <c r="B62" t="s">
        <v>28</v>
      </c>
      <c r="C62" t="s">
        <v>46</v>
      </c>
      <c r="D62" s="1" t="d">
        <v>2024-10-10</v>
      </c>
      <c r="E62" s="11">
        <f>Table1[[#This Row],[year]]-YEAR(Table1[[#This Row],[launch_date]])</f>
        <v>2</v>
      </c>
      <c r="F62">
        <v>256</v>
      </c>
      <c r="G62">
        <f>SKEW(Table1[memory_gb])</f>
        <v>4.4615286901097004</v>
      </c>
      <c r="H62">
        <f>LN(1+Table1[[#This Row],[memory_gb]])</f>
        <v>5.5490760848952201</v>
      </c>
      <c r="I62">
        <f>SKEW(Table1[log(memory_gb)])</f>
        <v>-0.12349734745152563</v>
      </c>
      <c r="J62">
        <v>1300</v>
      </c>
      <c r="K62" cm="1">
        <f t="array" ref="K62">SKEW(Table1[fp16_tflops])</f>
        <v>3.0570434318989719</v>
      </c>
      <c r="L62">
        <f>LN(1+Table1[[#This Row],[fp16_tflops]])</f>
        <v>7.1708884785125049</v>
      </c>
      <c r="M62">
        <f t="shared" si="3"/>
        <v>0.65881900903598745</v>
      </c>
      <c r="N62">
        <v>1000</v>
      </c>
      <c r="O62" cm="1">
        <f t="array" ref="O62">SKEW(Table1[tdp_watts])</f>
        <v>6.0149845187563606</v>
      </c>
      <c r="P62">
        <f>LN(1+Table1[[#This Row],[tdp_watts]])</f>
        <v>6.9087547793152204</v>
      </c>
      <c r="Q62" s="10">
        <f>(Table1[[#This Row],[fp16_tflops]]/Table1[[#This Row],[tdp_watts]])</f>
        <v>1.3</v>
      </c>
      <c r="R62">
        <f>SKEW(Table1[log(tdp_watts)])</f>
        <v>1.0730603511378074</v>
      </c>
      <c r="S62">
        <v>39454</v>
      </c>
      <c r="T62">
        <f>SKEW(Table1[estimated_shipments_units])</f>
        <v>5.1829756087773573</v>
      </c>
      <c r="U62">
        <f>LN(1+Table1[[#This Row],[estimated_shipments_units]])</f>
        <v>10.582916060955135</v>
      </c>
      <c r="V62">
        <f t="shared" si="4"/>
        <v>-0.11305864701848001</v>
      </c>
      <c r="W62">
        <v>22000</v>
      </c>
      <c r="X62">
        <f>SKEW(Table1[estimated_asp_usd])</f>
        <v>6.1553602568167474</v>
      </c>
      <c r="Y62">
        <f>LN(1+Table1[[#This Row],[estimated_asp_usd]])</f>
        <v>9.9988431858528806</v>
      </c>
      <c r="Z62">
        <f>SKEW(Table1[log(estimated_asp_usd)])</f>
        <v>-2.8993473795412101</v>
      </c>
      <c r="AA62">
        <v>868</v>
      </c>
      <c r="AB62">
        <f>SKEW(Table1[estimated_revenue_usd_m])</f>
        <v>5.8862244869270315</v>
      </c>
      <c r="AC62">
        <f>LN(1+Table1[[#This Row],[estimated_revenue_usd_m]])</f>
        <v>6.7673431252653922</v>
      </c>
      <c r="AD62">
        <f>SKEW(Table1[log(estimated_revenue_usd)])</f>
        <v>0.29428154884363278</v>
      </c>
      <c r="AE62" t="s">
        <v>55</v>
      </c>
      <c r="BD62" s="6">
        <v>32</v>
      </c>
      <c r="BE62" s="6">
        <v>926</v>
      </c>
      <c r="BF62" s="6">
        <v>200</v>
      </c>
      <c r="BG62" s="6">
        <v>237500</v>
      </c>
      <c r="BH62" s="6">
        <v>0</v>
      </c>
      <c r="BI62" s="6">
        <v>0</v>
      </c>
    </row>
    <row r="63" spans="1:61" x14ac:dyDescent="0.35">
      <c r="A63">
        <v>2024</v>
      </c>
      <c r="B63" t="s">
        <v>38</v>
      </c>
      <c r="C63" t="s">
        <v>64</v>
      </c>
      <c r="D63" s="1" t="d">
        <v>2024-12-03</v>
      </c>
      <c r="E63" s="11">
        <f>Table1[[#This Row],[year]]-YEAR(Table1[[#This Row],[launch_date]])</f>
        <v>0</v>
      </c>
      <c r="F63">
        <v>96</v>
      </c>
      <c r="G63">
        <f>SKEW(Table1[memory_gb])</f>
        <v>4.4615286901097004</v>
      </c>
      <c r="H63">
        <f>LN(1+Table1[[#This Row],[memory_gb]])</f>
        <v>4.5747109785033828</v>
      </c>
      <c r="I63">
        <f>SKEW(Table1[log(memory_gb)])</f>
        <v>-0.12349734745152563</v>
      </c>
      <c r="J63">
        <v>650</v>
      </c>
      <c r="K63" cm="1">
        <f t="array" ref="K63">SKEW(Table1[fp16_tflops])</f>
        <v>3.0570434318989719</v>
      </c>
      <c r="L63">
        <f>LN(1+Table1[[#This Row],[fp16_tflops]])</f>
        <v>6.4785096422085688</v>
      </c>
      <c r="M63">
        <f t="shared" si="3"/>
        <v>0.5943092836142706</v>
      </c>
      <c r="N63">
        <v>500</v>
      </c>
      <c r="O63" cm="1">
        <f t="array" ref="O63">SKEW(Table1[tdp_watts])</f>
        <v>6.0149845187563606</v>
      </c>
      <c r="P63">
        <f>LN(1+Table1[[#This Row],[tdp_watts]])</f>
        <v>6.2166061010848646</v>
      </c>
      <c r="Q63" s="10">
        <f>(Table1[[#This Row],[fp16_tflops]]/Table1[[#This Row],[tdp_watts]])</f>
        <v>1.3</v>
      </c>
      <c r="R63">
        <f>SKEW(Table1[log(tdp_watts)])</f>
        <v>1.0730603511378074</v>
      </c>
      <c r="S63">
        <v>0</v>
      </c>
      <c r="T63">
        <f>SKEW(Table1[estimated_shipments_units])</f>
        <v>5.1829756087773573</v>
      </c>
      <c r="U63">
        <f>LN(1+Table1[[#This Row],[estimated_shipments_units]])</f>
        <v>0</v>
      </c>
      <c r="V63">
        <f t="shared" si="4"/>
        <v>-8.0556972499730678E-2</v>
      </c>
      <c r="W63">
        <v>15000</v>
      </c>
      <c r="X63">
        <f>SKEW(Table1[estimated_asp_usd])</f>
        <v>6.1553602568167474</v>
      </c>
      <c r="Y63">
        <f>LN(1+Table1[[#This Row],[estimated_asp_usd]])</f>
        <v>9.6158721445288897</v>
      </c>
      <c r="Z63">
        <f>SKEW(Table1[log(estimated_asp_usd)])</f>
        <v>-2.8993473795412101</v>
      </c>
      <c r="AA63">
        <v>0</v>
      </c>
      <c r="AB63">
        <f>SKEW(Table1[estimated_revenue_usd_m])</f>
        <v>5.8862244869270315</v>
      </c>
      <c r="AC63">
        <f>LN(1+Table1[[#This Row],[estimated_revenue_usd_m]])</f>
        <v>0</v>
      </c>
      <c r="AD63">
        <f>SKEW(Table1[log(estimated_revenue_usd)])</f>
        <v>0.29428154884363278</v>
      </c>
      <c r="AE63" t="s">
        <v>65</v>
      </c>
      <c r="BD63" s="7">
        <v>64</v>
      </c>
      <c r="BE63" s="7">
        <v>1500</v>
      </c>
      <c r="BF63" s="7">
        <v>300</v>
      </c>
      <c r="BG63" s="7">
        <v>0</v>
      </c>
      <c r="BH63" s="7">
        <v>15000</v>
      </c>
      <c r="BI63" s="7">
        <v>0</v>
      </c>
    </row>
    <row r="64" spans="1:61" x14ac:dyDescent="0.35">
      <c r="A64">
        <v>2025</v>
      </c>
      <c r="B64" t="s">
        <v>38</v>
      </c>
      <c r="C64" t="s">
        <v>64</v>
      </c>
      <c r="D64" s="1" t="d">
        <v>2024-12-03</v>
      </c>
      <c r="E64" s="11">
        <f>Table1[[#This Row],[year]]-YEAR(Table1[[#This Row],[launch_date]])</f>
        <v>1</v>
      </c>
      <c r="F64">
        <v>96</v>
      </c>
      <c r="G64">
        <f>SKEW(Table1[memory_gb])</f>
        <v>4.4615286901097004</v>
      </c>
      <c r="H64">
        <f>LN(1+Table1[[#This Row],[memory_gb]])</f>
        <v>4.5747109785033828</v>
      </c>
      <c r="I64">
        <f>SKEW(Table1[log(memory_gb)])</f>
        <v>-0.12349734745152563</v>
      </c>
      <c r="J64">
        <v>650</v>
      </c>
      <c r="K64" cm="1">
        <f t="array" ref="K64">SKEW(Table1[fp16_tflops])</f>
        <v>3.0570434318989719</v>
      </c>
      <c r="L64">
        <f>LN(1+Table1[[#This Row],[fp16_tflops]])</f>
        <v>6.4785096422085688</v>
      </c>
      <c r="M64">
        <f t="shared" si="3"/>
        <v>0.6430235719959807</v>
      </c>
      <c r="N64">
        <v>500</v>
      </c>
      <c r="O64" cm="1">
        <f t="array" ref="O64">SKEW(Table1[tdp_watts])</f>
        <v>6.0149845187563606</v>
      </c>
      <c r="P64">
        <f>LN(1+Table1[[#This Row],[tdp_watts]])</f>
        <v>6.2166061010848646</v>
      </c>
      <c r="Q64" s="10">
        <f>(Table1[[#This Row],[fp16_tflops]]/Table1[[#This Row],[tdp_watts]])</f>
        <v>1.3</v>
      </c>
      <c r="R64">
        <f>SKEW(Table1[log(tdp_watts)])</f>
        <v>1.0730603511378074</v>
      </c>
      <c r="S64">
        <v>67686</v>
      </c>
      <c r="T64">
        <f>SKEW(Table1[estimated_shipments_units])</f>
        <v>5.1829756087773573</v>
      </c>
      <c r="U64">
        <f>LN(1+Table1[[#This Row],[estimated_shipments_units]])</f>
        <v>11.122649416827789</v>
      </c>
      <c r="V64">
        <f t="shared" si="4"/>
        <v>6.6986267415932527E-2</v>
      </c>
      <c r="W64">
        <v>15000</v>
      </c>
      <c r="X64">
        <f>SKEW(Table1[estimated_asp_usd])</f>
        <v>6.1553602568167474</v>
      </c>
      <c r="Y64">
        <f>LN(1+Table1[[#This Row],[estimated_asp_usd]])</f>
        <v>9.6158721445288897</v>
      </c>
      <c r="Z64">
        <f>SKEW(Table1[log(estimated_asp_usd)])</f>
        <v>-2.8993473795412101</v>
      </c>
      <c r="AA64">
        <v>1015.3</v>
      </c>
      <c r="AB64">
        <f>SKEW(Table1[estimated_revenue_usd_m])</f>
        <v>5.8862244869270315</v>
      </c>
      <c r="AC64">
        <f>LN(1+Table1[[#This Row],[estimated_revenue_usd_m]])</f>
        <v>6.923923860143721</v>
      </c>
      <c r="AD64">
        <f>SKEW(Table1[log(estimated_revenue_usd)])</f>
        <v>0.29428154884363278</v>
      </c>
      <c r="AE64" t="s">
        <v>65</v>
      </c>
      <c r="BD64" s="6">
        <v>64</v>
      </c>
      <c r="BE64" s="6">
        <v>1500</v>
      </c>
      <c r="BF64" s="6">
        <v>300</v>
      </c>
      <c r="BG64" s="6">
        <v>801</v>
      </c>
      <c r="BH64" s="6">
        <v>15000</v>
      </c>
      <c r="BI64" s="6">
        <v>12</v>
      </c>
    </row>
    <row r="65" spans="1:61" x14ac:dyDescent="0.35">
      <c r="A65">
        <v>2026</v>
      </c>
      <c r="B65" t="s">
        <v>38</v>
      </c>
      <c r="C65" t="s">
        <v>64</v>
      </c>
      <c r="D65" s="1" t="d">
        <v>2024-12-03</v>
      </c>
      <c r="E65" s="11">
        <f>Table1[[#This Row],[year]]-YEAR(Table1[[#This Row],[launch_date]])</f>
        <v>2</v>
      </c>
      <c r="F65">
        <v>96</v>
      </c>
      <c r="G65">
        <f>SKEW(Table1[memory_gb])</f>
        <v>4.4615286901097004</v>
      </c>
      <c r="H65">
        <f>LN(1+Table1[[#This Row],[memory_gb]])</f>
        <v>4.5747109785033828</v>
      </c>
      <c r="I65">
        <f>SKEW(Table1[log(memory_gb)])</f>
        <v>-0.12349734745152563</v>
      </c>
      <c r="J65">
        <v>650</v>
      </c>
      <c r="K65" cm="1">
        <f t="array" ref="K65">SKEW(Table1[fp16_tflops])</f>
        <v>3.0570434318989719</v>
      </c>
      <c r="L65">
        <f>LN(1+Table1[[#This Row],[fp16_tflops]])</f>
        <v>6.4785096422085688</v>
      </c>
      <c r="M65">
        <f t="shared" si="3"/>
        <v>0.69405597915440853</v>
      </c>
      <c r="N65">
        <v>500</v>
      </c>
      <c r="O65" cm="1">
        <f t="array" ref="O65">SKEW(Table1[tdp_watts])</f>
        <v>6.0149845187563606</v>
      </c>
      <c r="P65">
        <f>LN(1+Table1[[#This Row],[tdp_watts]])</f>
        <v>6.2166061010848646</v>
      </c>
      <c r="Q65" s="10">
        <f>(Table1[[#This Row],[fp16_tflops]]/Table1[[#This Row],[tdp_watts]])</f>
        <v>1.3</v>
      </c>
      <c r="R65">
        <f>SKEW(Table1[log(tdp_watts)])</f>
        <v>1.0730603511378074</v>
      </c>
      <c r="S65">
        <v>82503</v>
      </c>
      <c r="T65">
        <f>SKEW(Table1[estimated_shipments_units])</f>
        <v>5.1829756087773573</v>
      </c>
      <c r="U65">
        <f>LN(1+Table1[[#This Row],[estimated_shipments_units]])</f>
        <v>11.320602055995906</v>
      </c>
      <c r="V65">
        <f t="shared" si="4"/>
        <v>0.10433137679866043</v>
      </c>
      <c r="W65">
        <v>15000</v>
      </c>
      <c r="X65">
        <f>SKEW(Table1[estimated_asp_usd])</f>
        <v>6.1553602568167474</v>
      </c>
      <c r="Y65">
        <f>LN(1+Table1[[#This Row],[estimated_asp_usd]])</f>
        <v>9.6158721445288897</v>
      </c>
      <c r="Z65">
        <f>SKEW(Table1[log(estimated_asp_usd)])</f>
        <v>-2.8993473795412101</v>
      </c>
      <c r="AA65">
        <v>1237.5</v>
      </c>
      <c r="AB65">
        <f>SKEW(Table1[estimated_revenue_usd_m])</f>
        <v>5.8862244869270315</v>
      </c>
      <c r="AC65">
        <f>LN(1+Table1[[#This Row],[estimated_revenue_usd_m]])</f>
        <v>7.1216562489294146</v>
      </c>
      <c r="AD65">
        <f>SKEW(Table1[log(estimated_revenue_usd)])</f>
        <v>0.29428154884363278</v>
      </c>
      <c r="AE65" t="s">
        <v>65</v>
      </c>
      <c r="BD65" s="7">
        <v>230</v>
      </c>
      <c r="BE65" s="7">
        <v>750</v>
      </c>
      <c r="BF65" s="7">
        <v>350</v>
      </c>
      <c r="BG65" s="7">
        <v>8709</v>
      </c>
      <c r="BH65" s="7">
        <v>15000</v>
      </c>
      <c r="BI65" s="7">
        <v>130.6</v>
      </c>
    </row>
    <row r="66" spans="1:61" x14ac:dyDescent="0.35">
      <c r="A66">
        <v>2023</v>
      </c>
      <c r="B66" t="s">
        <v>33</v>
      </c>
      <c r="C66" t="s">
        <v>57</v>
      </c>
      <c r="D66" s="1" t="d">
        <v>2023-08-29</v>
      </c>
      <c r="E66" s="11">
        <f>Table1[[#This Row],[year]]-YEAR(Table1[[#This Row],[launch_date]])</f>
        <v>0</v>
      </c>
      <c r="F66">
        <v>16</v>
      </c>
      <c r="G66">
        <f>SKEW(Table1[memory_gb])</f>
        <v>4.4615286901097004</v>
      </c>
      <c r="H66">
        <f>LN(1+Table1[[#This Row],[memory_gb]])</f>
        <v>2.8332133440562162</v>
      </c>
      <c r="I66">
        <f>SKEW(Table1[log(memory_gb)])</f>
        <v>-0.12349734745152563</v>
      </c>
      <c r="J66">
        <v>197</v>
      </c>
      <c r="K66" cm="1">
        <f t="array" ref="K66">SKEW(Table1[fp16_tflops])</f>
        <v>3.0570434318989719</v>
      </c>
      <c r="L66">
        <f>LN(1+Table1[[#This Row],[fp16_tflops]])</f>
        <v>5.2882670306945352</v>
      </c>
      <c r="M66">
        <f t="shared" ref="M66:M97" si="5">SKEW(L66:L185)</f>
        <v>0.74755642548257839</v>
      </c>
      <c r="N66">
        <v>170</v>
      </c>
      <c r="O66" cm="1">
        <f t="array" ref="O66">SKEW(Table1[tdp_watts])</f>
        <v>6.0149845187563606</v>
      </c>
      <c r="P66">
        <f>LN(1+Table1[[#This Row],[tdp_watts]])</f>
        <v>5.1416635565026603</v>
      </c>
      <c r="Q66" s="10">
        <f>(Table1[[#This Row],[fp16_tflops]]/Table1[[#This Row],[tdp_watts]])</f>
        <v>1.1588235294117648</v>
      </c>
      <c r="R66">
        <f>SKEW(Table1[log(tdp_watts)])</f>
        <v>1.0730603511378074</v>
      </c>
      <c r="S66">
        <v>59908</v>
      </c>
      <c r="T66">
        <f>SKEW(Table1[estimated_shipments_units])</f>
        <v>5.1829756087773573</v>
      </c>
      <c r="U66">
        <f>LN(1+Table1[[#This Row],[estimated_shipments_units]])</f>
        <v>11.00058202323444</v>
      </c>
      <c r="V66">
        <f t="shared" ref="V66:V97" si="6">SKEW(U66:U185)</f>
        <v>0.14284346715915894</v>
      </c>
      <c r="W66">
        <v>15000</v>
      </c>
      <c r="X66">
        <f>SKEW(Table1[estimated_asp_usd])</f>
        <v>6.1553602568167474</v>
      </c>
      <c r="Y66">
        <f>LN(1+Table1[[#This Row],[estimated_asp_usd]])</f>
        <v>9.6158721445288897</v>
      </c>
      <c r="Z66">
        <f>SKEW(Table1[log(estimated_asp_usd)])</f>
        <v>-2.8993473795412101</v>
      </c>
      <c r="AA66">
        <v>898.6</v>
      </c>
      <c r="AB66">
        <f>SKEW(Table1[estimated_revenue_usd_m])</f>
        <v>5.8862244869270315</v>
      </c>
      <c r="AC66">
        <f>LN(1+Table1[[#This Row],[estimated_revenue_usd_m]])</f>
        <v>6.8019502200851605</v>
      </c>
      <c r="AD66">
        <f>SKEW(Table1[log(estimated_revenue_usd)])</f>
        <v>0.29428154884363278</v>
      </c>
      <c r="AE66" t="s">
        <v>60</v>
      </c>
      <c r="BD66" s="6">
        <v>230</v>
      </c>
      <c r="BE66" s="6">
        <v>750</v>
      </c>
      <c r="BF66" s="6">
        <v>350</v>
      </c>
      <c r="BG66" s="6">
        <v>25845</v>
      </c>
      <c r="BH66" s="6">
        <v>15000</v>
      </c>
      <c r="BI66" s="6">
        <v>387.7</v>
      </c>
    </row>
    <row r="67" spans="1:61" x14ac:dyDescent="0.35">
      <c r="A67">
        <v>2024</v>
      </c>
      <c r="B67" t="s">
        <v>33</v>
      </c>
      <c r="C67" t="s">
        <v>57</v>
      </c>
      <c r="D67" s="1" t="d">
        <v>2023-08-29</v>
      </c>
      <c r="E67" s="11">
        <f>Table1[[#This Row],[year]]-YEAR(Table1[[#This Row],[launch_date]])</f>
        <v>1</v>
      </c>
      <c r="F67">
        <v>16</v>
      </c>
      <c r="G67">
        <f>SKEW(Table1[memory_gb])</f>
        <v>4.4615286901097004</v>
      </c>
      <c r="H67">
        <f>LN(1+Table1[[#This Row],[memory_gb]])</f>
        <v>2.8332133440562162</v>
      </c>
      <c r="I67">
        <f>SKEW(Table1[log(memory_gb)])</f>
        <v>-0.12349734745152563</v>
      </c>
      <c r="J67">
        <v>197</v>
      </c>
      <c r="K67" cm="1">
        <f t="array" ref="K67">SKEW(Table1[fp16_tflops])</f>
        <v>3.0570434318989719</v>
      </c>
      <c r="L67">
        <f>LN(1+Table1[[#This Row],[fp16_tflops]])</f>
        <v>5.2882670306945352</v>
      </c>
      <c r="M67">
        <f t="shared" si="5"/>
        <v>0.72632667301102161</v>
      </c>
      <c r="N67">
        <v>170</v>
      </c>
      <c r="O67" cm="1">
        <f t="array" ref="O67">SKEW(Table1[tdp_watts])</f>
        <v>6.0149845187563606</v>
      </c>
      <c r="P67">
        <f>LN(1+Table1[[#This Row],[tdp_watts]])</f>
        <v>5.1416635565026603</v>
      </c>
      <c r="Q67" s="10">
        <f>(Table1[[#This Row],[fp16_tflops]]/Table1[[#This Row],[tdp_watts]])</f>
        <v>1.1588235294117648</v>
      </c>
      <c r="R67">
        <f>SKEW(Table1[log(tdp_watts)])</f>
        <v>1.0730603511378074</v>
      </c>
      <c r="S67">
        <v>761631</v>
      </c>
      <c r="T67">
        <f>SKEW(Table1[estimated_shipments_units])</f>
        <v>5.1829756087773573</v>
      </c>
      <c r="U67">
        <f>LN(1+Table1[[#This Row],[estimated_shipments_units]])</f>
        <v>13.543218778383334</v>
      </c>
      <c r="V67">
        <f t="shared" si="6"/>
        <v>0.18323108362925958</v>
      </c>
      <c r="W67">
        <v>15000</v>
      </c>
      <c r="X67">
        <f>SKEW(Table1[estimated_asp_usd])</f>
        <v>6.1553602568167474</v>
      </c>
      <c r="Y67">
        <f>LN(1+Table1[[#This Row],[estimated_asp_usd]])</f>
        <v>9.6158721445288897</v>
      </c>
      <c r="Z67">
        <f>SKEW(Table1[log(estimated_asp_usd)])</f>
        <v>-2.8993473795412101</v>
      </c>
      <c r="AA67">
        <v>11424.5</v>
      </c>
      <c r="AB67">
        <f>SKEW(Table1[estimated_revenue_usd_m])</f>
        <v>5.8862244869270315</v>
      </c>
      <c r="AC67">
        <f>LN(1+Table1[[#This Row],[estimated_revenue_usd_m]])</f>
        <v>9.343602978480952</v>
      </c>
      <c r="AD67">
        <f>SKEW(Table1[log(estimated_revenue_usd)])</f>
        <v>0.29428154884363278</v>
      </c>
      <c r="AE67" t="s">
        <v>60</v>
      </c>
      <c r="BD67" s="7">
        <v>230</v>
      </c>
      <c r="BE67" s="7">
        <v>750</v>
      </c>
      <c r="BF67" s="7">
        <v>350</v>
      </c>
      <c r="BG67" s="7">
        <v>25084</v>
      </c>
      <c r="BH67" s="7">
        <v>15000</v>
      </c>
      <c r="BI67" s="7">
        <v>376.3</v>
      </c>
    </row>
    <row r="68" spans="1:61" x14ac:dyDescent="0.35">
      <c r="A68">
        <v>2025</v>
      </c>
      <c r="B68" t="s">
        <v>33</v>
      </c>
      <c r="C68" t="s">
        <v>57</v>
      </c>
      <c r="D68" s="1" t="d">
        <v>2023-08-29</v>
      </c>
      <c r="E68" s="11">
        <f>Table1[[#This Row],[year]]-YEAR(Table1[[#This Row],[launch_date]])</f>
        <v>2</v>
      </c>
      <c r="F68">
        <v>16</v>
      </c>
      <c r="G68">
        <f>SKEW(Table1[memory_gb])</f>
        <v>4.4615286901097004</v>
      </c>
      <c r="H68">
        <f>LN(1+Table1[[#This Row],[memory_gb]])</f>
        <v>2.8332133440562162</v>
      </c>
      <c r="I68">
        <f>SKEW(Table1[log(memory_gb)])</f>
        <v>-0.12349734745152563</v>
      </c>
      <c r="J68">
        <v>197</v>
      </c>
      <c r="K68" cm="1">
        <f t="array" ref="K68">SKEW(Table1[fp16_tflops])</f>
        <v>3.0570434318989719</v>
      </c>
      <c r="L68">
        <f>LN(1+Table1[[#This Row],[fp16_tflops]])</f>
        <v>5.2882670306945352</v>
      </c>
      <c r="M68">
        <f t="shared" si="5"/>
        <v>0.70471036966911982</v>
      </c>
      <c r="N68">
        <v>170</v>
      </c>
      <c r="O68" cm="1">
        <f t="array" ref="O68">SKEW(Table1[tdp_watts])</f>
        <v>6.0149845187563606</v>
      </c>
      <c r="P68">
        <f>LN(1+Table1[[#This Row],[tdp_watts]])</f>
        <v>5.1416635565026603</v>
      </c>
      <c r="Q68" s="10">
        <f>(Table1[[#This Row],[fp16_tflops]]/Table1[[#This Row],[tdp_watts]])</f>
        <v>1.1588235294117648</v>
      </c>
      <c r="R68">
        <f>SKEW(Table1[log(tdp_watts)])</f>
        <v>1.0730603511378074</v>
      </c>
      <c r="S68">
        <v>491607</v>
      </c>
      <c r="T68">
        <f>SKEW(Table1[estimated_shipments_units])</f>
        <v>5.1829756087773573</v>
      </c>
      <c r="U68">
        <f>LN(1+Table1[[#This Row],[estimated_shipments_units]])</f>
        <v>13.105436929934609</v>
      </c>
      <c r="V68">
        <f t="shared" si="6"/>
        <v>0.17188893700504559</v>
      </c>
      <c r="W68">
        <v>15000</v>
      </c>
      <c r="X68">
        <f>SKEW(Table1[estimated_asp_usd])</f>
        <v>6.1553602568167474</v>
      </c>
      <c r="Y68">
        <f>LN(1+Table1[[#This Row],[estimated_asp_usd]])</f>
        <v>9.6158721445288897</v>
      </c>
      <c r="Z68">
        <f>SKEW(Table1[log(estimated_asp_usd)])</f>
        <v>-2.8993473795412101</v>
      </c>
      <c r="AA68">
        <v>7374.1</v>
      </c>
      <c r="AB68">
        <f>SKEW(Table1[estimated_revenue_usd_m])</f>
        <v>5.8862244869270315</v>
      </c>
      <c r="AC68">
        <f>LN(1+Table1[[#This Row],[estimated_revenue_usd_m]])</f>
        <v>8.9058647404381279</v>
      </c>
      <c r="AD68">
        <f>SKEW(Table1[log(estimated_revenue_usd)])</f>
        <v>0.29428154884363278</v>
      </c>
      <c r="AE68" t="s">
        <v>60</v>
      </c>
      <c r="BD68" s="6">
        <v>32</v>
      </c>
      <c r="BE68" s="6">
        <v>256</v>
      </c>
      <c r="BF68" s="6">
        <v>310</v>
      </c>
      <c r="BG68" s="6">
        <v>1077</v>
      </c>
      <c r="BH68" s="6">
        <v>15000</v>
      </c>
      <c r="BI68" s="6">
        <v>16.2</v>
      </c>
    </row>
    <row r="69" spans="1:61" x14ac:dyDescent="0.35">
      <c r="A69">
        <v>2026</v>
      </c>
      <c r="B69" t="s">
        <v>33</v>
      </c>
      <c r="C69" t="s">
        <v>57</v>
      </c>
      <c r="D69" s="1" t="d">
        <v>2023-08-29</v>
      </c>
      <c r="E69" s="11">
        <f>Table1[[#This Row],[year]]-YEAR(Table1[[#This Row],[launch_date]])</f>
        <v>3</v>
      </c>
      <c r="F69">
        <v>16</v>
      </c>
      <c r="G69">
        <f>SKEW(Table1[memory_gb])</f>
        <v>4.4615286901097004</v>
      </c>
      <c r="H69">
        <f>LN(1+Table1[[#This Row],[memory_gb]])</f>
        <v>2.8332133440562162</v>
      </c>
      <c r="I69">
        <f>SKEW(Table1[log(memory_gb)])</f>
        <v>-0.12349734745152563</v>
      </c>
      <c r="J69">
        <v>197</v>
      </c>
      <c r="K69" cm="1">
        <f t="array" ref="K69">SKEW(Table1[fp16_tflops])</f>
        <v>3.0570434318989719</v>
      </c>
      <c r="L69">
        <f>LN(1+Table1[[#This Row],[fp16_tflops]])</f>
        <v>5.2882670306945352</v>
      </c>
      <c r="M69">
        <f t="shared" si="5"/>
        <v>0.6826892225753397</v>
      </c>
      <c r="N69">
        <v>170</v>
      </c>
      <c r="O69" cm="1">
        <f t="array" ref="O69">SKEW(Table1[tdp_watts])</f>
        <v>6.0149845187563606</v>
      </c>
      <c r="P69">
        <f>LN(1+Table1[[#This Row],[tdp_watts]])</f>
        <v>5.1416635565026603</v>
      </c>
      <c r="Q69" s="10">
        <f>(Table1[[#This Row],[fp16_tflops]]/Table1[[#This Row],[tdp_watts]])</f>
        <v>1.1588235294117648</v>
      </c>
      <c r="R69">
        <f>SKEW(Table1[log(tdp_watts)])</f>
        <v>1.0730603511378074</v>
      </c>
      <c r="S69">
        <v>238991</v>
      </c>
      <c r="T69">
        <f>SKEW(Table1[estimated_shipments_units])</f>
        <v>5.1829756087773573</v>
      </c>
      <c r="U69">
        <f>LN(1+Table1[[#This Row],[estimated_shipments_units]])</f>
        <v>12.384185357550074</v>
      </c>
      <c r="V69">
        <f t="shared" si="6"/>
        <v>0.1684113771711894</v>
      </c>
      <c r="W69">
        <v>15000</v>
      </c>
      <c r="X69">
        <f>SKEW(Table1[estimated_asp_usd])</f>
        <v>6.1553602568167474</v>
      </c>
      <c r="Y69">
        <f>LN(1+Table1[[#This Row],[estimated_asp_usd]])</f>
        <v>9.6158721445288897</v>
      </c>
      <c r="Z69">
        <f>SKEW(Table1[log(estimated_asp_usd)])</f>
        <v>-2.8993473795412101</v>
      </c>
      <c r="AA69">
        <v>3584.9</v>
      </c>
      <c r="AB69">
        <f>SKEW(Table1[estimated_revenue_usd_m])</f>
        <v>5.8862244869270315</v>
      </c>
      <c r="AC69">
        <f>LN(1+Table1[[#This Row],[estimated_revenue_usd_m]])</f>
        <v>8.1847647675520445</v>
      </c>
      <c r="AD69">
        <f>SKEW(Table1[log(estimated_revenue_usd)])</f>
        <v>0.29428154884363278</v>
      </c>
      <c r="AE69" t="s">
        <v>60</v>
      </c>
      <c r="BD69" s="7">
        <v>32</v>
      </c>
      <c r="BE69" s="7">
        <v>256</v>
      </c>
      <c r="BF69" s="7">
        <v>310</v>
      </c>
      <c r="BG69" s="7">
        <v>812</v>
      </c>
      <c r="BH69" s="7">
        <v>15000</v>
      </c>
      <c r="BI69" s="7">
        <v>12.2</v>
      </c>
    </row>
    <row r="70" spans="1:61" x14ac:dyDescent="0.35">
      <c r="A70">
        <v>2022</v>
      </c>
      <c r="B70" t="s">
        <v>40</v>
      </c>
      <c r="C70" t="s">
        <v>64</v>
      </c>
      <c r="D70" s="1" t="d">
        <v>2022-12-15</v>
      </c>
      <c r="E70" s="11">
        <f>Table1[[#This Row],[year]]-YEAR(Table1[[#This Row],[launch_date]])</f>
        <v>0</v>
      </c>
      <c r="F70">
        <v>32</v>
      </c>
      <c r="G70">
        <f>SKEW(Table1[memory_gb])</f>
        <v>4.4615286901097004</v>
      </c>
      <c r="H70">
        <f>LN(1+Table1[[#This Row],[memory_gb]])</f>
        <v>3.4965075614664802</v>
      </c>
      <c r="I70">
        <f>SKEW(Table1[log(memory_gb)])</f>
        <v>-0.12349734745152563</v>
      </c>
      <c r="J70">
        <v>190</v>
      </c>
      <c r="K70" cm="1">
        <f t="array" ref="K70">SKEW(Table1[fp16_tflops])</f>
        <v>3.0570434318989719</v>
      </c>
      <c r="L70">
        <f>LN(1+Table1[[#This Row],[fp16_tflops]])</f>
        <v>5.2522734280466299</v>
      </c>
      <c r="M70">
        <f t="shared" si="5"/>
        <v>0.66024358829757146</v>
      </c>
      <c r="N70">
        <v>175</v>
      </c>
      <c r="O70" cm="1">
        <f t="array" ref="O70">SKEW(Table1[tdp_watts])</f>
        <v>6.0149845187563606</v>
      </c>
      <c r="P70">
        <f>LN(1+Table1[[#This Row],[tdp_watts]])</f>
        <v>5.1704839950381514</v>
      </c>
      <c r="Q70" s="10">
        <f>(Table1[[#This Row],[fp16_tflops]]/Table1[[#This Row],[tdp_watts]])</f>
        <v>1.0857142857142856</v>
      </c>
      <c r="R70">
        <f>SKEW(Table1[log(tdp_watts)])</f>
        <v>1.0730603511378074</v>
      </c>
      <c r="S70">
        <v>0</v>
      </c>
      <c r="T70">
        <f>SKEW(Table1[estimated_shipments_units])</f>
        <v>5.1829756087773573</v>
      </c>
      <c r="U70">
        <f>LN(1+Table1[[#This Row],[estimated_shipments_units]])</f>
        <v>0</v>
      </c>
      <c r="V70">
        <f t="shared" si="6"/>
        <v>0.18526209417943765</v>
      </c>
      <c r="W70">
        <v>15000</v>
      </c>
      <c r="X70">
        <f>SKEW(Table1[estimated_asp_usd])</f>
        <v>6.1553602568167474</v>
      </c>
      <c r="Y70">
        <f>LN(1+Table1[[#This Row],[estimated_asp_usd]])</f>
        <v>9.6158721445288897</v>
      </c>
      <c r="Z70">
        <f>SKEW(Table1[log(estimated_asp_usd)])</f>
        <v>-2.8993473795412101</v>
      </c>
      <c r="AA70">
        <v>0</v>
      </c>
      <c r="AB70">
        <f>SKEW(Table1[estimated_revenue_usd_m])</f>
        <v>5.8862244869270315</v>
      </c>
      <c r="AC70">
        <f>LN(1+Table1[[#This Row],[estimated_revenue_usd_m]])</f>
        <v>0</v>
      </c>
      <c r="AD70">
        <f>SKEW(Table1[log(estimated_revenue_usd)])</f>
        <v>0.29428154884363278</v>
      </c>
      <c r="AE70" t="s">
        <v>66</v>
      </c>
      <c r="BD70" s="6">
        <v>32</v>
      </c>
      <c r="BE70" s="6">
        <v>256</v>
      </c>
      <c r="BF70" s="6">
        <v>310</v>
      </c>
      <c r="BG70" s="6">
        <v>337</v>
      </c>
      <c r="BH70" s="6">
        <v>15000</v>
      </c>
      <c r="BI70" s="6">
        <v>5.0999999999999996</v>
      </c>
    </row>
    <row r="71" spans="1:61" x14ac:dyDescent="0.35">
      <c r="A71">
        <v>2023</v>
      </c>
      <c r="B71" t="s">
        <v>40</v>
      </c>
      <c r="C71" t="s">
        <v>64</v>
      </c>
      <c r="D71" s="1" t="d">
        <v>2022-12-15</v>
      </c>
      <c r="E71" s="11">
        <f>Table1[[#This Row],[year]]-YEAR(Table1[[#This Row],[launch_date]])</f>
        <v>1</v>
      </c>
      <c r="F71">
        <v>32</v>
      </c>
      <c r="G71">
        <f>SKEW(Table1[memory_gb])</f>
        <v>4.4615286901097004</v>
      </c>
      <c r="H71">
        <f>LN(1+Table1[[#This Row],[memory_gb]])</f>
        <v>3.4965075614664802</v>
      </c>
      <c r="I71">
        <f>SKEW(Table1[log(memory_gb)])</f>
        <v>-0.12349734745152563</v>
      </c>
      <c r="J71">
        <v>190</v>
      </c>
      <c r="K71" cm="1">
        <f t="array" ref="K71">SKEW(Table1[fp16_tflops])</f>
        <v>3.0570434318989719</v>
      </c>
      <c r="L71">
        <f>LN(1+Table1[[#This Row],[fp16_tflops]])</f>
        <v>5.2522734280466299</v>
      </c>
      <c r="M71">
        <f t="shared" si="5"/>
        <v>0.6350533694025059</v>
      </c>
      <c r="N71">
        <v>175</v>
      </c>
      <c r="O71" cm="1">
        <f t="array" ref="O71">SKEW(Table1[tdp_watts])</f>
        <v>6.0149845187563606</v>
      </c>
      <c r="P71">
        <f>LN(1+Table1[[#This Row],[tdp_watts]])</f>
        <v>5.1704839950381514</v>
      </c>
      <c r="Q71" s="10">
        <f>(Table1[[#This Row],[fp16_tflops]]/Table1[[#This Row],[tdp_watts]])</f>
        <v>1.0857142857142856</v>
      </c>
      <c r="R71">
        <f>SKEW(Table1[log(tdp_watts)])</f>
        <v>1.0730603511378074</v>
      </c>
      <c r="S71">
        <v>182522</v>
      </c>
      <c r="T71">
        <f>SKEW(Table1[estimated_shipments_units])</f>
        <v>5.1829756087773573</v>
      </c>
      <c r="U71">
        <f>LN(1+Table1[[#This Row],[estimated_shipments_units]])</f>
        <v>12.114631471461157</v>
      </c>
      <c r="V71">
        <f t="shared" si="6"/>
        <v>0.50241823683154208</v>
      </c>
      <c r="W71">
        <v>15000</v>
      </c>
      <c r="X71">
        <f>SKEW(Table1[estimated_asp_usd])</f>
        <v>6.1553602568167474</v>
      </c>
      <c r="Y71">
        <f>LN(1+Table1[[#This Row],[estimated_asp_usd]])</f>
        <v>9.6158721445288897</v>
      </c>
      <c r="Z71">
        <f>SKEW(Table1[log(estimated_asp_usd)])</f>
        <v>-2.8993473795412101</v>
      </c>
      <c r="AA71">
        <v>2737.8</v>
      </c>
      <c r="AB71">
        <f>SKEW(Table1[estimated_revenue_usd_m])</f>
        <v>5.8862244869270315</v>
      </c>
      <c r="AC71">
        <f>LN(1+Table1[[#This Row],[estimated_revenue_usd_m]])</f>
        <v>7.9152751472469083</v>
      </c>
      <c r="AD71">
        <f>SKEW(Table1[log(estimated_revenue_usd)])</f>
        <v>0.29428154884363278</v>
      </c>
      <c r="AE71" t="s">
        <v>66</v>
      </c>
      <c r="BD71" s="7">
        <v>32</v>
      </c>
      <c r="BE71" s="7">
        <v>256</v>
      </c>
      <c r="BF71" s="7">
        <v>310</v>
      </c>
      <c r="BG71" s="7">
        <v>168</v>
      </c>
      <c r="BH71" s="7">
        <v>15000</v>
      </c>
      <c r="BI71" s="7">
        <v>2.5</v>
      </c>
    </row>
    <row r="72" spans="1:61" x14ac:dyDescent="0.35">
      <c r="A72">
        <v>2024</v>
      </c>
      <c r="B72" t="s">
        <v>40</v>
      </c>
      <c r="C72" t="s">
        <v>64</v>
      </c>
      <c r="D72" s="1" t="d">
        <v>2022-12-15</v>
      </c>
      <c r="E72" s="11">
        <f>Table1[[#This Row],[year]]-YEAR(Table1[[#This Row],[launch_date]])</f>
        <v>2</v>
      </c>
      <c r="F72">
        <v>32</v>
      </c>
      <c r="G72">
        <f>SKEW(Table1[memory_gb])</f>
        <v>4.4615286901097004</v>
      </c>
      <c r="H72">
        <f>LN(1+Table1[[#This Row],[memory_gb]])</f>
        <v>3.4965075614664802</v>
      </c>
      <c r="I72">
        <f>SKEW(Table1[log(memory_gb)])</f>
        <v>-0.12349734745152563</v>
      </c>
      <c r="J72">
        <v>190</v>
      </c>
      <c r="K72" cm="1">
        <f t="array" ref="K72">SKEW(Table1[fp16_tflops])</f>
        <v>3.0570434318989719</v>
      </c>
      <c r="L72">
        <f>LN(1+Table1[[#This Row],[fp16_tflops]])</f>
        <v>5.2522734280466299</v>
      </c>
      <c r="M72">
        <f t="shared" si="5"/>
        <v>0.60931586368586932</v>
      </c>
      <c r="N72">
        <v>175</v>
      </c>
      <c r="O72" cm="1">
        <f t="array" ref="O72">SKEW(Table1[tdp_watts])</f>
        <v>6.0149845187563606</v>
      </c>
      <c r="P72">
        <f>LN(1+Table1[[#This Row],[tdp_watts]])</f>
        <v>5.1704839950381514</v>
      </c>
      <c r="Q72" s="10">
        <f>(Table1[[#This Row],[fp16_tflops]]/Table1[[#This Row],[tdp_watts]])</f>
        <v>1.0857142857142856</v>
      </c>
      <c r="R72">
        <f>SKEW(Table1[log(tdp_watts)])</f>
        <v>1.0730603511378074</v>
      </c>
      <c r="S72">
        <v>111438</v>
      </c>
      <c r="T72">
        <f>SKEW(Table1[estimated_shipments_units])</f>
        <v>5.1829756087773573</v>
      </c>
      <c r="U72">
        <f>LN(1+Table1[[#This Row],[estimated_shipments_units]])</f>
        <v>11.621232634974804</v>
      </c>
      <c r="V72">
        <f t="shared" si="6"/>
        <v>0.54502703538637698</v>
      </c>
      <c r="W72">
        <v>15000</v>
      </c>
      <c r="X72">
        <f>SKEW(Table1[estimated_asp_usd])</f>
        <v>6.1553602568167474</v>
      </c>
      <c r="Y72">
        <f>LN(1+Table1[[#This Row],[estimated_asp_usd]])</f>
        <v>9.6158721445288897</v>
      </c>
      <c r="Z72">
        <f>SKEW(Table1[log(estimated_asp_usd)])</f>
        <v>-2.8993473795412101</v>
      </c>
      <c r="AA72">
        <v>1671.6</v>
      </c>
      <c r="AB72">
        <f>SKEW(Table1[estimated_revenue_usd_m])</f>
        <v>5.8862244869270315</v>
      </c>
      <c r="AC72">
        <f>LN(1+Table1[[#This Row],[estimated_revenue_usd_m]])</f>
        <v>7.4221345809474251</v>
      </c>
      <c r="AD72">
        <f>SKEW(Table1[log(estimated_revenue_usd)])</f>
        <v>0.29428154884363278</v>
      </c>
      <c r="AE72" t="s">
        <v>66</v>
      </c>
      <c r="BD72" s="6">
        <v>32</v>
      </c>
      <c r="BE72" s="6">
        <v>256</v>
      </c>
      <c r="BF72" s="6">
        <v>310</v>
      </c>
      <c r="BG72" s="6">
        <v>124</v>
      </c>
      <c r="BH72" s="6">
        <v>15000</v>
      </c>
      <c r="BI72" s="6">
        <v>1.9</v>
      </c>
    </row>
    <row r="73" spans="1:61" x14ac:dyDescent="0.35">
      <c r="A73">
        <v>2025</v>
      </c>
      <c r="B73" t="s">
        <v>40</v>
      </c>
      <c r="C73" t="s">
        <v>64</v>
      </c>
      <c r="D73" s="1" t="d">
        <v>2022-12-15</v>
      </c>
      <c r="E73" s="11">
        <f>Table1[[#This Row],[year]]-YEAR(Table1[[#This Row],[launch_date]])</f>
        <v>3</v>
      </c>
      <c r="F73">
        <v>32</v>
      </c>
      <c r="G73">
        <f>SKEW(Table1[memory_gb])</f>
        <v>4.4615286901097004</v>
      </c>
      <c r="H73">
        <f>LN(1+Table1[[#This Row],[memory_gb]])</f>
        <v>3.4965075614664802</v>
      </c>
      <c r="I73">
        <f>SKEW(Table1[log(memory_gb)])</f>
        <v>-0.12349734745152563</v>
      </c>
      <c r="J73">
        <v>190</v>
      </c>
      <c r="K73" cm="1">
        <f t="array" ref="K73">SKEW(Table1[fp16_tflops])</f>
        <v>3.0570434318989719</v>
      </c>
      <c r="L73">
        <f>LN(1+Table1[[#This Row],[fp16_tflops]])</f>
        <v>5.2522734280466299</v>
      </c>
      <c r="M73">
        <f t="shared" si="5"/>
        <v>0.58300082692944322</v>
      </c>
      <c r="N73">
        <v>175</v>
      </c>
      <c r="O73" cm="1">
        <f t="array" ref="O73">SKEW(Table1[tdp_watts])</f>
        <v>6.0149845187563606</v>
      </c>
      <c r="P73">
        <f>LN(1+Table1[[#This Row],[tdp_watts]])</f>
        <v>5.1704839950381514</v>
      </c>
      <c r="Q73" s="10">
        <f>(Table1[[#This Row],[fp16_tflops]]/Table1[[#This Row],[tdp_watts]])</f>
        <v>1.0857142857142856</v>
      </c>
      <c r="R73">
        <f>SKEW(Table1[log(tdp_watts)])</f>
        <v>1.0730603511378074</v>
      </c>
      <c r="S73">
        <v>66238</v>
      </c>
      <c r="T73">
        <f>SKEW(Table1[estimated_shipments_units])</f>
        <v>5.1829756087773573</v>
      </c>
      <c r="U73">
        <f>LN(1+Table1[[#This Row],[estimated_shipments_units]])</f>
        <v>11.101024692326829</v>
      </c>
      <c r="V73">
        <f t="shared" si="6"/>
        <v>0.5989097741233389</v>
      </c>
      <c r="W73">
        <v>15000</v>
      </c>
      <c r="X73">
        <f>SKEW(Table1[estimated_asp_usd])</f>
        <v>6.1553602568167474</v>
      </c>
      <c r="Y73">
        <f>LN(1+Table1[[#This Row],[estimated_asp_usd]])</f>
        <v>9.6158721445288897</v>
      </c>
      <c r="Z73">
        <f>SKEW(Table1[log(estimated_asp_usd)])</f>
        <v>-2.8993473795412101</v>
      </c>
      <c r="AA73">
        <v>993.6</v>
      </c>
      <c r="AB73">
        <f>SKEW(Table1[estimated_revenue_usd_m])</f>
        <v>5.8862244869270315</v>
      </c>
      <c r="AC73">
        <f>LN(1+Table1[[#This Row],[estimated_revenue_usd_m]])</f>
        <v>6.9023406462806385</v>
      </c>
      <c r="AD73">
        <f>SKEW(Table1[log(estimated_revenue_usd)])</f>
        <v>0.29428154884363278</v>
      </c>
      <c r="AE73" t="s">
        <v>66</v>
      </c>
      <c r="BD73" s="7">
        <v>32</v>
      </c>
      <c r="BE73" s="7">
        <v>256</v>
      </c>
      <c r="BF73" s="7">
        <v>310</v>
      </c>
      <c r="BG73" s="7">
        <v>178</v>
      </c>
      <c r="BH73" s="7">
        <v>15000</v>
      </c>
      <c r="BI73" s="7">
        <v>2.7</v>
      </c>
    </row>
    <row r="74" spans="1:61" x14ac:dyDescent="0.35">
      <c r="A74">
        <v>2026</v>
      </c>
      <c r="B74" t="s">
        <v>40</v>
      </c>
      <c r="C74" t="s">
        <v>64</v>
      </c>
      <c r="D74" s="1" t="d">
        <v>2022-12-15</v>
      </c>
      <c r="E74" s="11">
        <f>Table1[[#This Row],[year]]-YEAR(Table1[[#This Row],[launch_date]])</f>
        <v>4</v>
      </c>
      <c r="F74">
        <v>32</v>
      </c>
      <c r="G74">
        <f>SKEW(Table1[memory_gb])</f>
        <v>4.4615286901097004</v>
      </c>
      <c r="H74">
        <f>LN(1+Table1[[#This Row],[memory_gb]])</f>
        <v>3.4965075614664802</v>
      </c>
      <c r="I74">
        <f>SKEW(Table1[log(memory_gb)])</f>
        <v>-0.12349734745152563</v>
      </c>
      <c r="J74">
        <v>190</v>
      </c>
      <c r="K74" cm="1">
        <f t="array" ref="K74">SKEW(Table1[fp16_tflops])</f>
        <v>3.0570434318989719</v>
      </c>
      <c r="L74">
        <f>LN(1+Table1[[#This Row],[fp16_tflops]])</f>
        <v>5.2522734280466299</v>
      </c>
      <c r="M74">
        <f t="shared" si="5"/>
        <v>0.5560754268337087</v>
      </c>
      <c r="N74">
        <v>175</v>
      </c>
      <c r="O74" cm="1">
        <f t="array" ref="O74">SKEW(Table1[tdp_watts])</f>
        <v>6.0149845187563606</v>
      </c>
      <c r="P74">
        <f>LN(1+Table1[[#This Row],[tdp_watts]])</f>
        <v>5.1704839950381514</v>
      </c>
      <c r="Q74" s="10">
        <f>(Table1[[#This Row],[fp16_tflops]]/Table1[[#This Row],[tdp_watts]])</f>
        <v>1.0857142857142856</v>
      </c>
      <c r="R74">
        <f>SKEW(Table1[log(tdp_watts)])</f>
        <v>1.0730603511378074</v>
      </c>
      <c r="S74">
        <v>21199</v>
      </c>
      <c r="T74">
        <f>SKEW(Table1[estimated_shipments_units])</f>
        <v>5.1829756087773573</v>
      </c>
      <c r="U74">
        <f>LN(1+Table1[[#This Row],[estimated_shipments_units]])</f>
        <v>9.9617564606601032</v>
      </c>
      <c r="V74">
        <f t="shared" si="6"/>
        <v>0.66159918829033149</v>
      </c>
      <c r="W74">
        <v>15000</v>
      </c>
      <c r="X74">
        <f>SKEW(Table1[estimated_asp_usd])</f>
        <v>6.1553602568167474</v>
      </c>
      <c r="Y74">
        <f>LN(1+Table1[[#This Row],[estimated_asp_usd]])</f>
        <v>9.6158721445288897</v>
      </c>
      <c r="Z74">
        <f>SKEW(Table1[log(estimated_asp_usd)])</f>
        <v>-2.8993473795412101</v>
      </c>
      <c r="AA74">
        <v>318</v>
      </c>
      <c r="AB74">
        <f>SKEW(Table1[estimated_revenue_usd_m])</f>
        <v>5.8862244869270315</v>
      </c>
      <c r="AC74">
        <f>LN(1+Table1[[#This Row],[estimated_revenue_usd_m]])</f>
        <v>5.7651911027848444</v>
      </c>
      <c r="AD74">
        <f>SKEW(Table1[log(estimated_revenue_usd)])</f>
        <v>0.29428154884363278</v>
      </c>
      <c r="AE74" t="s">
        <v>66</v>
      </c>
      <c r="BD74" s="6">
        <v>32</v>
      </c>
      <c r="BE74" s="6">
        <v>256</v>
      </c>
      <c r="BF74" s="6">
        <v>310</v>
      </c>
      <c r="BG74" s="6">
        <v>230</v>
      </c>
      <c r="BH74" s="6">
        <v>15000</v>
      </c>
      <c r="BI74" s="6">
        <v>3.5</v>
      </c>
    </row>
    <row r="75" spans="1:61" x14ac:dyDescent="0.35">
      <c r="A75">
        <v>2023</v>
      </c>
      <c r="B75" t="s">
        <v>20</v>
      </c>
      <c r="C75" t="s">
        <v>12</v>
      </c>
      <c r="D75" s="1" t="d">
        <v>2023-08-08</v>
      </c>
      <c r="E75" s="11">
        <f>Table1[[#This Row],[year]]-YEAR(Table1[[#This Row],[launch_date]])</f>
        <v>0</v>
      </c>
      <c r="F75">
        <v>48</v>
      </c>
      <c r="G75">
        <f>SKEW(Table1[memory_gb])</f>
        <v>4.4615286901097004</v>
      </c>
      <c r="H75">
        <f>LN(1+Table1[[#This Row],[memory_gb]])</f>
        <v>3.8918202981106265</v>
      </c>
      <c r="I75">
        <f>SKEW(Table1[log(memory_gb)])</f>
        <v>-0.12349734745152563</v>
      </c>
      <c r="J75">
        <v>362</v>
      </c>
      <c r="K75" cm="1">
        <f t="array" ref="K75">SKEW(Table1[fp16_tflops])</f>
        <v>3.0570434318989719</v>
      </c>
      <c r="L75">
        <f>LN(1+Table1[[#This Row],[fp16_tflops]])</f>
        <v>5.8944028342648505</v>
      </c>
      <c r="M75">
        <f t="shared" si="5"/>
        <v>0.52850394397462575</v>
      </c>
      <c r="N75">
        <v>350</v>
      </c>
      <c r="O75" cm="1">
        <f t="array" ref="O75">SKEW(Table1[tdp_watts])</f>
        <v>6.0149845187563606</v>
      </c>
      <c r="P75">
        <f>LN(1+Table1[[#This Row],[tdp_watts]])</f>
        <v>5.8607862234658654</v>
      </c>
      <c r="Q75" s="10">
        <f>(Table1[[#This Row],[fp16_tflops]]/Table1[[#This Row],[tdp_watts]])</f>
        <v>1.0342857142857143</v>
      </c>
      <c r="R75">
        <f>SKEW(Table1[log(tdp_watts)])</f>
        <v>1.0730603511378074</v>
      </c>
      <c r="S75">
        <v>51592</v>
      </c>
      <c r="T75">
        <f>SKEW(Table1[estimated_shipments_units])</f>
        <v>5.1829756087773573</v>
      </c>
      <c r="U75">
        <f>LN(1+Table1[[#This Row],[estimated_shipments_units]])</f>
        <v>10.851141283352423</v>
      </c>
      <c r="V75">
        <f t="shared" si="6"/>
        <v>0.72142242597846351</v>
      </c>
      <c r="W75">
        <v>15000</v>
      </c>
      <c r="X75">
        <f>SKEW(Table1[estimated_asp_usd])</f>
        <v>6.1553602568167474</v>
      </c>
      <c r="Y75">
        <f>LN(1+Table1[[#This Row],[estimated_asp_usd]])</f>
        <v>9.6158721445288897</v>
      </c>
      <c r="Z75">
        <f>SKEW(Table1[log(estimated_asp_usd)])</f>
        <v>-2.8993473795412101</v>
      </c>
      <c r="AA75">
        <v>773.9</v>
      </c>
      <c r="AB75">
        <f>SKEW(Table1[estimated_revenue_usd_m])</f>
        <v>5.8862244869270315</v>
      </c>
      <c r="AC75">
        <f>LN(1+Table1[[#This Row],[estimated_revenue_usd_m]])</f>
        <v>6.6527339887699046</v>
      </c>
      <c r="AD75">
        <f>SKEW(Table1[log(estimated_revenue_usd)])</f>
        <v>0.29428154884363278</v>
      </c>
      <c r="AE75" t="s">
        <v>30</v>
      </c>
      <c r="BD75" s="7">
        <v>64</v>
      </c>
      <c r="BE75" s="7">
        <v>512</v>
      </c>
      <c r="BF75" s="7">
        <v>392</v>
      </c>
      <c r="BG75" s="7">
        <v>31695</v>
      </c>
      <c r="BH75" s="7">
        <v>15000</v>
      </c>
      <c r="BI75" s="7">
        <v>475.4</v>
      </c>
    </row>
    <row r="76" spans="1:61" x14ac:dyDescent="0.35">
      <c r="A76">
        <v>2024</v>
      </c>
      <c r="B76" t="s">
        <v>20</v>
      </c>
      <c r="C76" t="s">
        <v>12</v>
      </c>
      <c r="D76" s="1" t="d">
        <v>2023-08-08</v>
      </c>
      <c r="E76" s="11">
        <f>Table1[[#This Row],[year]]-YEAR(Table1[[#This Row],[launch_date]])</f>
        <v>1</v>
      </c>
      <c r="F76">
        <v>48</v>
      </c>
      <c r="G76">
        <f>SKEW(Table1[memory_gb])</f>
        <v>4.4615286901097004</v>
      </c>
      <c r="H76">
        <f>LN(1+Table1[[#This Row],[memory_gb]])</f>
        <v>3.8918202981106265</v>
      </c>
      <c r="I76">
        <f>SKEW(Table1[log(memory_gb)])</f>
        <v>-0.12349734745152563</v>
      </c>
      <c r="J76">
        <v>362</v>
      </c>
      <c r="K76" cm="1">
        <f t="array" ref="K76">SKEW(Table1[fp16_tflops])</f>
        <v>3.0570434318989719</v>
      </c>
      <c r="L76">
        <f>LN(1+Table1[[#This Row],[fp16_tflops]])</f>
        <v>5.8944028342648505</v>
      </c>
      <c r="M76">
        <f t="shared" si="5"/>
        <v>0.56492274515795793</v>
      </c>
      <c r="N76">
        <v>350</v>
      </c>
      <c r="O76" cm="1">
        <f t="array" ref="O76">SKEW(Table1[tdp_watts])</f>
        <v>6.0149845187563606</v>
      </c>
      <c r="P76">
        <f>LN(1+Table1[[#This Row],[tdp_watts]])</f>
        <v>5.8607862234658654</v>
      </c>
      <c r="Q76" s="10">
        <f>(Table1[[#This Row],[fp16_tflops]]/Table1[[#This Row],[tdp_watts]])</f>
        <v>1.0342857142857143</v>
      </c>
      <c r="R76">
        <f>SKEW(Table1[log(tdp_watts)])</f>
        <v>1.0730603511378074</v>
      </c>
      <c r="S76">
        <v>327147</v>
      </c>
      <c r="T76">
        <f>SKEW(Table1[estimated_shipments_units])</f>
        <v>5.1829756087773573</v>
      </c>
      <c r="U76">
        <f>LN(1+Table1[[#This Row],[estimated_shipments_units]])</f>
        <v>12.698167946875561</v>
      </c>
      <c r="V76">
        <f t="shared" si="6"/>
        <v>0.79414937799795793</v>
      </c>
      <c r="W76">
        <v>15000</v>
      </c>
      <c r="X76">
        <f>SKEW(Table1[estimated_asp_usd])</f>
        <v>6.1553602568167474</v>
      </c>
      <c r="Y76">
        <f>LN(1+Table1[[#This Row],[estimated_asp_usd]])</f>
        <v>9.6158721445288897</v>
      </c>
      <c r="Z76">
        <f>SKEW(Table1[log(estimated_asp_usd)])</f>
        <v>-2.8993473795412101</v>
      </c>
      <c r="AA76">
        <v>4907.2</v>
      </c>
      <c r="AB76">
        <f>SKEW(Table1[estimated_revenue_usd_m])</f>
        <v>5.8862244869270315</v>
      </c>
      <c r="AC76">
        <f>LN(1+Table1[[#This Row],[estimated_revenue_usd_m]])</f>
        <v>8.4986625547968018</v>
      </c>
      <c r="AD76">
        <f>SKEW(Table1[log(estimated_revenue_usd)])</f>
        <v>0.29428154884363278</v>
      </c>
      <c r="AE76" t="s">
        <v>30</v>
      </c>
      <c r="BD76" s="6">
        <v>64</v>
      </c>
      <c r="BE76" s="6">
        <v>512</v>
      </c>
      <c r="BF76" s="6">
        <v>392</v>
      </c>
      <c r="BG76" s="6">
        <v>327421</v>
      </c>
      <c r="BH76" s="6">
        <v>15000</v>
      </c>
      <c r="BI76" s="6">
        <v>4911.3</v>
      </c>
    </row>
    <row r="77" spans="1:61" x14ac:dyDescent="0.35">
      <c r="A77">
        <v>2025</v>
      </c>
      <c r="B77" t="s">
        <v>20</v>
      </c>
      <c r="C77" t="s">
        <v>12</v>
      </c>
      <c r="D77" s="1" t="d">
        <v>2023-08-08</v>
      </c>
      <c r="E77" s="11">
        <f>Table1[[#This Row],[year]]-YEAR(Table1[[#This Row],[launch_date]])</f>
        <v>2</v>
      </c>
      <c r="F77">
        <v>48</v>
      </c>
      <c r="G77">
        <f>SKEW(Table1[memory_gb])</f>
        <v>4.4615286901097004</v>
      </c>
      <c r="H77">
        <f>LN(1+Table1[[#This Row],[memory_gb]])</f>
        <v>3.8918202981106265</v>
      </c>
      <c r="I77">
        <f>SKEW(Table1[log(memory_gb)])</f>
        <v>-0.12349734745152563</v>
      </c>
      <c r="J77">
        <v>362</v>
      </c>
      <c r="K77" cm="1">
        <f t="array" ref="K77">SKEW(Table1[fp16_tflops])</f>
        <v>3.0570434318989719</v>
      </c>
      <c r="L77">
        <f>LN(1+Table1[[#This Row],[fp16_tflops]])</f>
        <v>5.8944028342648505</v>
      </c>
      <c r="M77">
        <f t="shared" si="5"/>
        <v>0.60285065554264172</v>
      </c>
      <c r="N77">
        <v>350</v>
      </c>
      <c r="O77" cm="1">
        <f t="array" ref="O77">SKEW(Table1[tdp_watts])</f>
        <v>6.0149845187563606</v>
      </c>
      <c r="P77">
        <f>LN(1+Table1[[#This Row],[tdp_watts]])</f>
        <v>5.8607862234658654</v>
      </c>
      <c r="Q77" s="10">
        <f>(Table1[[#This Row],[fp16_tflops]]/Table1[[#This Row],[tdp_watts]])</f>
        <v>1.0342857142857143</v>
      </c>
      <c r="R77">
        <f>SKEW(Table1[log(tdp_watts)])</f>
        <v>1.0730603511378074</v>
      </c>
      <c r="S77">
        <v>359171</v>
      </c>
      <c r="T77">
        <f>SKEW(Table1[estimated_shipments_units])</f>
        <v>5.1829756087773573</v>
      </c>
      <c r="U77">
        <f>LN(1+Table1[[#This Row],[estimated_shipments_units]])</f>
        <v>12.791556661369617</v>
      </c>
      <c r="V77">
        <f t="shared" si="6"/>
        <v>0.81601714120017144</v>
      </c>
      <c r="W77">
        <v>15000</v>
      </c>
      <c r="X77">
        <f>SKEW(Table1[estimated_asp_usd])</f>
        <v>6.1553602568167474</v>
      </c>
      <c r="Y77">
        <f>LN(1+Table1[[#This Row],[estimated_asp_usd]])</f>
        <v>9.6158721445288897</v>
      </c>
      <c r="Z77">
        <f>SKEW(Table1[log(estimated_asp_usd)])</f>
        <v>-2.8993473795412101</v>
      </c>
      <c r="AA77">
        <v>5387.6</v>
      </c>
      <c r="AB77">
        <f>SKEW(Table1[estimated_revenue_usd_m])</f>
        <v>5.8862244869270315</v>
      </c>
      <c r="AC77">
        <f>LN(1+Table1[[#This Row],[estimated_revenue_usd_m]])</f>
        <v>8.5920408899049594</v>
      </c>
      <c r="AD77">
        <f>SKEW(Table1[log(estimated_revenue_usd)])</f>
        <v>0.29428154884363278</v>
      </c>
      <c r="AE77" t="s">
        <v>30</v>
      </c>
      <c r="BD77" s="7">
        <v>64</v>
      </c>
      <c r="BE77" s="7">
        <v>512</v>
      </c>
      <c r="BF77" s="7">
        <v>392</v>
      </c>
      <c r="BG77" s="7">
        <v>222897</v>
      </c>
      <c r="BH77" s="7">
        <v>15000</v>
      </c>
      <c r="BI77" s="7">
        <v>3343.5</v>
      </c>
    </row>
    <row r="78" spans="1:61" x14ac:dyDescent="0.35">
      <c r="A78">
        <v>2026</v>
      </c>
      <c r="B78" t="s">
        <v>20</v>
      </c>
      <c r="C78" t="s">
        <v>12</v>
      </c>
      <c r="D78" s="1" t="d">
        <v>2023-08-08</v>
      </c>
      <c r="E78" s="11">
        <f>Table1[[#This Row],[year]]-YEAR(Table1[[#This Row],[launch_date]])</f>
        <v>3</v>
      </c>
      <c r="F78">
        <v>48</v>
      </c>
      <c r="G78">
        <f>SKEW(Table1[memory_gb])</f>
        <v>4.4615286901097004</v>
      </c>
      <c r="H78">
        <f>LN(1+Table1[[#This Row],[memory_gb]])</f>
        <v>3.8918202981106265</v>
      </c>
      <c r="I78">
        <f>SKEW(Table1[log(memory_gb)])</f>
        <v>-0.12349734745152563</v>
      </c>
      <c r="J78">
        <v>362</v>
      </c>
      <c r="K78" cm="1">
        <f t="array" ref="K78">SKEW(Table1[fp16_tflops])</f>
        <v>3.0570434318989719</v>
      </c>
      <c r="L78">
        <f>LN(1+Table1[[#This Row],[fp16_tflops]])</f>
        <v>5.8944028342648505</v>
      </c>
      <c r="M78">
        <f t="shared" si="5"/>
        <v>0.64241673726531279</v>
      </c>
      <c r="N78">
        <v>350</v>
      </c>
      <c r="O78" cm="1">
        <f t="array" ref="O78">SKEW(Table1[tdp_watts])</f>
        <v>6.0149845187563606</v>
      </c>
      <c r="P78">
        <f>LN(1+Table1[[#This Row],[tdp_watts]])</f>
        <v>5.8607862234658654</v>
      </c>
      <c r="Q78" s="10">
        <f>(Table1[[#This Row],[fp16_tflops]]/Table1[[#This Row],[tdp_watts]])</f>
        <v>1.0342857142857143</v>
      </c>
      <c r="R78">
        <f>SKEW(Table1[log(tdp_watts)])</f>
        <v>1.0730603511378074</v>
      </c>
      <c r="S78">
        <v>120445</v>
      </c>
      <c r="T78">
        <f>SKEW(Table1[estimated_shipments_units])</f>
        <v>5.1829756087773573</v>
      </c>
      <c r="U78">
        <f>LN(1+Table1[[#This Row],[estimated_shipments_units]])</f>
        <v>11.698956798691261</v>
      </c>
      <c r="V78">
        <f t="shared" si="6"/>
        <v>0.79994306277946559</v>
      </c>
      <c r="W78">
        <v>15000</v>
      </c>
      <c r="X78">
        <f>SKEW(Table1[estimated_asp_usd])</f>
        <v>6.1553602568167474</v>
      </c>
      <c r="Y78">
        <f>LN(1+Table1[[#This Row],[estimated_asp_usd]])</f>
        <v>9.6158721445288897</v>
      </c>
      <c r="Z78">
        <f>SKEW(Table1[log(estimated_asp_usd)])</f>
        <v>-2.8993473795412101</v>
      </c>
      <c r="AA78">
        <v>1806.7</v>
      </c>
      <c r="AB78">
        <f>SKEW(Table1[estimated_revenue_usd_m])</f>
        <v>5.8862244869270315</v>
      </c>
      <c r="AC78">
        <f>LN(1+Table1[[#This Row],[estimated_revenue_usd_m]])</f>
        <v>7.499810597980809</v>
      </c>
      <c r="AD78">
        <f>SKEW(Table1[log(estimated_revenue_usd)])</f>
        <v>0.29428154884363278</v>
      </c>
      <c r="AE78" t="s">
        <v>30</v>
      </c>
      <c r="BD78" s="6">
        <v>64</v>
      </c>
      <c r="BE78" s="6">
        <v>512</v>
      </c>
      <c r="BF78" s="6">
        <v>392</v>
      </c>
      <c r="BG78" s="6">
        <v>91465</v>
      </c>
      <c r="BH78" s="6">
        <v>15000</v>
      </c>
      <c r="BI78" s="6">
        <v>1372</v>
      </c>
    </row>
    <row r="79" spans="1:61" x14ac:dyDescent="0.35">
      <c r="A79">
        <v>2021</v>
      </c>
      <c r="B79" t="s">
        <v>51</v>
      </c>
      <c r="C79" t="s">
        <v>79</v>
      </c>
      <c r="D79" s="1" t="d">
        <v>2021-11-15</v>
      </c>
      <c r="E79" s="11">
        <f>Table1[[#This Row],[year]]-YEAR(Table1[[#This Row],[launch_date]])</f>
        <v>0</v>
      </c>
      <c r="F79">
        <v>16</v>
      </c>
      <c r="G79">
        <f>SKEW(Table1[memory_gb])</f>
        <v>4.4615286901097004</v>
      </c>
      <c r="H79">
        <f>LN(1+Table1[[#This Row],[memory_gb]])</f>
        <v>2.8332133440562162</v>
      </c>
      <c r="I79">
        <f>SKEW(Table1[log(memory_gb)])</f>
        <v>-0.12349734745152563</v>
      </c>
      <c r="J79">
        <v>256</v>
      </c>
      <c r="K79" cm="1">
        <f t="array" ref="K79">SKEW(Table1[fp16_tflops])</f>
        <v>3.0570434318989719</v>
      </c>
      <c r="L79">
        <f>LN(1+Table1[[#This Row],[fp16_tflops]])</f>
        <v>5.5490760848952201</v>
      </c>
      <c r="M79">
        <f t="shared" si="5"/>
        <v>0.68376627507710663</v>
      </c>
      <c r="N79">
        <v>250</v>
      </c>
      <c r="O79" cm="1">
        <f t="array" ref="O79">SKEW(Table1[tdp_watts])</f>
        <v>6.0149845187563606</v>
      </c>
      <c r="P79">
        <f>LN(1+Table1[[#This Row],[tdp_watts]])</f>
        <v>5.5254529391317835</v>
      </c>
      <c r="Q79" s="10">
        <f>(Table1[[#This Row],[fp16_tflops]]/Table1[[#This Row],[tdp_watts]])</f>
        <v>1.024</v>
      </c>
      <c r="R79">
        <f>SKEW(Table1[log(tdp_watts)])</f>
        <v>1.0730603511378074</v>
      </c>
      <c r="S79">
        <v>32</v>
      </c>
      <c r="T79">
        <f>SKEW(Table1[estimated_shipments_units])</f>
        <v>5.1829756087773573</v>
      </c>
      <c r="U79">
        <f>LN(1+Table1[[#This Row],[estimated_shipments_units]])</f>
        <v>3.4965075614664802</v>
      </c>
      <c r="V79">
        <f t="shared" si="6"/>
        <v>0.84054958640791733</v>
      </c>
      <c r="W79">
        <v>15000</v>
      </c>
      <c r="X79">
        <f>SKEW(Table1[estimated_asp_usd])</f>
        <v>6.1553602568167474</v>
      </c>
      <c r="Y79">
        <f>LN(1+Table1[[#This Row],[estimated_asp_usd]])</f>
        <v>9.6158721445288897</v>
      </c>
      <c r="Z79">
        <f>SKEW(Table1[log(estimated_asp_usd)])</f>
        <v>-2.8993473795412101</v>
      </c>
      <c r="AA79">
        <v>0.5</v>
      </c>
      <c r="AB79">
        <f>SKEW(Table1[estimated_revenue_usd_m])</f>
        <v>5.8862244869270315</v>
      </c>
      <c r="AC79">
        <f>LN(1+Table1[[#This Row],[estimated_revenue_usd_m]])</f>
        <v>0.40546510810816438</v>
      </c>
      <c r="AD79">
        <f>SKEW(Table1[log(estimated_revenue_usd)])</f>
        <v>0.29428154884363278</v>
      </c>
      <c r="AE79" t="s">
        <v>80</v>
      </c>
      <c r="BD79" s="7">
        <v>64</v>
      </c>
      <c r="BE79" s="7">
        <v>800</v>
      </c>
      <c r="BF79" s="7">
        <v>450</v>
      </c>
      <c r="BG79" s="7">
        <v>3425</v>
      </c>
      <c r="BH79" s="7">
        <v>20000</v>
      </c>
      <c r="BI79" s="7">
        <v>68.5</v>
      </c>
    </row>
    <row r="80" spans="1:61" x14ac:dyDescent="0.35">
      <c r="A80">
        <v>2022</v>
      </c>
      <c r="B80" t="s">
        <v>51</v>
      </c>
      <c r="C80" t="s">
        <v>79</v>
      </c>
      <c r="D80" s="1" t="d">
        <v>2021-11-15</v>
      </c>
      <c r="E80" s="11">
        <f>Table1[[#This Row],[year]]-YEAR(Table1[[#This Row],[launch_date]])</f>
        <v>1</v>
      </c>
      <c r="F80">
        <v>16</v>
      </c>
      <c r="G80">
        <f>SKEW(Table1[memory_gb])</f>
        <v>4.4615286901097004</v>
      </c>
      <c r="H80">
        <f>LN(1+Table1[[#This Row],[memory_gb]])</f>
        <v>2.8332133440562162</v>
      </c>
      <c r="I80">
        <f>SKEW(Table1[log(memory_gb)])</f>
        <v>-0.12349734745152563</v>
      </c>
      <c r="J80">
        <v>256</v>
      </c>
      <c r="K80" cm="1">
        <f t="array" ref="K80">SKEW(Table1[fp16_tflops])</f>
        <v>3.0570434318989719</v>
      </c>
      <c r="L80">
        <f>LN(1+Table1[[#This Row],[fp16_tflops]])</f>
        <v>5.5490760848952201</v>
      </c>
      <c r="M80">
        <f t="shared" si="5"/>
        <v>0.68471324993874871</v>
      </c>
      <c r="N80">
        <v>250</v>
      </c>
      <c r="O80" cm="1">
        <f t="array" ref="O80">SKEW(Table1[tdp_watts])</f>
        <v>6.0149845187563606</v>
      </c>
      <c r="P80">
        <f>LN(1+Table1[[#This Row],[tdp_watts]])</f>
        <v>5.5254529391317835</v>
      </c>
      <c r="Q80" s="10">
        <f>(Table1[[#This Row],[fp16_tflops]]/Table1[[#This Row],[tdp_watts]])</f>
        <v>1.024</v>
      </c>
      <c r="R80">
        <f>SKEW(Table1[log(tdp_watts)])</f>
        <v>1.0730603511378074</v>
      </c>
      <c r="S80">
        <v>1041</v>
      </c>
      <c r="T80">
        <f>SKEW(Table1[estimated_shipments_units])</f>
        <v>5.1829756087773573</v>
      </c>
      <c r="U80">
        <f>LN(1+Table1[[#This Row],[estimated_shipments_units]])</f>
        <v>6.9488972223133123</v>
      </c>
      <c r="V80">
        <f t="shared" si="6"/>
        <v>0.88725221940562149</v>
      </c>
      <c r="W80">
        <v>15000</v>
      </c>
      <c r="X80">
        <f>SKEW(Table1[estimated_asp_usd])</f>
        <v>6.1553602568167474</v>
      </c>
      <c r="Y80">
        <f>LN(1+Table1[[#This Row],[estimated_asp_usd]])</f>
        <v>9.6158721445288897</v>
      </c>
      <c r="Z80">
        <f>SKEW(Table1[log(estimated_asp_usd)])</f>
        <v>-2.8993473795412101</v>
      </c>
      <c r="AA80">
        <v>15.6</v>
      </c>
      <c r="AB80">
        <f>SKEW(Table1[estimated_revenue_usd_m])</f>
        <v>5.8862244869270315</v>
      </c>
      <c r="AC80">
        <f>LN(1+Table1[[#This Row],[estimated_revenue_usd_m]])</f>
        <v>2.8094026953624978</v>
      </c>
      <c r="AD80">
        <f>SKEW(Table1[log(estimated_revenue_usd)])</f>
        <v>0.29428154884363278</v>
      </c>
      <c r="AE80" t="s">
        <v>80</v>
      </c>
      <c r="BD80" s="6">
        <v>64</v>
      </c>
      <c r="BE80" s="6">
        <v>800</v>
      </c>
      <c r="BF80" s="6">
        <v>450</v>
      </c>
      <c r="BG80" s="6">
        <v>42439</v>
      </c>
      <c r="BH80" s="6">
        <v>20000</v>
      </c>
      <c r="BI80" s="6">
        <v>848.8</v>
      </c>
    </row>
    <row r="81" spans="1:61" x14ac:dyDescent="0.35">
      <c r="A81">
        <v>2023</v>
      </c>
      <c r="B81" t="s">
        <v>51</v>
      </c>
      <c r="C81" t="s">
        <v>79</v>
      </c>
      <c r="D81" s="1" t="d">
        <v>2021-11-15</v>
      </c>
      <c r="E81" s="11">
        <f>Table1[[#This Row],[year]]-YEAR(Table1[[#This Row],[launch_date]])</f>
        <v>2</v>
      </c>
      <c r="F81">
        <v>16</v>
      </c>
      <c r="G81">
        <f>SKEW(Table1[memory_gb])</f>
        <v>4.4615286901097004</v>
      </c>
      <c r="H81">
        <f>LN(1+Table1[[#This Row],[memory_gb]])</f>
        <v>2.8332133440562162</v>
      </c>
      <c r="I81">
        <f>SKEW(Table1[log(memory_gb)])</f>
        <v>-0.12349734745152563</v>
      </c>
      <c r="J81">
        <v>256</v>
      </c>
      <c r="K81" cm="1">
        <f t="array" ref="K81">SKEW(Table1[fp16_tflops])</f>
        <v>3.0570434318989719</v>
      </c>
      <c r="L81">
        <f>LN(1+Table1[[#This Row],[fp16_tflops]])</f>
        <v>5.5490760848952201</v>
      </c>
      <c r="M81">
        <f t="shared" si="5"/>
        <v>0.68580265315668609</v>
      </c>
      <c r="N81">
        <v>250</v>
      </c>
      <c r="O81" cm="1">
        <f t="array" ref="O81">SKEW(Table1[tdp_watts])</f>
        <v>6.0149845187563606</v>
      </c>
      <c r="P81">
        <f>LN(1+Table1[[#This Row],[tdp_watts]])</f>
        <v>5.5254529391317835</v>
      </c>
      <c r="Q81" s="10">
        <f>(Table1[[#This Row],[fp16_tflops]]/Table1[[#This Row],[tdp_watts]])</f>
        <v>1.024</v>
      </c>
      <c r="R81">
        <f>SKEW(Table1[log(tdp_watts)])</f>
        <v>1.0730603511378074</v>
      </c>
      <c r="S81">
        <v>846</v>
      </c>
      <c r="T81">
        <f>SKEW(Table1[estimated_shipments_units])</f>
        <v>5.1829756087773573</v>
      </c>
      <c r="U81">
        <f>LN(1+Table1[[#This Row],[estimated_shipments_units]])</f>
        <v>6.7417006946520548</v>
      </c>
      <c r="V81">
        <f t="shared" si="6"/>
        <v>0.87725760028912136</v>
      </c>
      <c r="W81">
        <v>15000</v>
      </c>
      <c r="X81">
        <f>SKEW(Table1[estimated_asp_usd])</f>
        <v>6.1553602568167474</v>
      </c>
      <c r="Y81">
        <f>LN(1+Table1[[#This Row],[estimated_asp_usd]])</f>
        <v>9.6158721445288897</v>
      </c>
      <c r="Z81">
        <f>SKEW(Table1[log(estimated_asp_usd)])</f>
        <v>-2.8993473795412101</v>
      </c>
      <c r="AA81">
        <v>12.7</v>
      </c>
      <c r="AB81">
        <f>SKEW(Table1[estimated_revenue_usd_m])</f>
        <v>5.8862244869270315</v>
      </c>
      <c r="AC81">
        <f>LN(1+Table1[[#This Row],[estimated_revenue_usd_m]])</f>
        <v>2.6173958328340792</v>
      </c>
      <c r="AD81">
        <f>SKEW(Table1[log(estimated_revenue_usd)])</f>
        <v>0.29428154884363278</v>
      </c>
      <c r="AE81" t="s">
        <v>80</v>
      </c>
      <c r="BD81" s="7">
        <v>64</v>
      </c>
      <c r="BE81" s="7">
        <v>800</v>
      </c>
      <c r="BF81" s="7">
        <v>450</v>
      </c>
      <c r="BG81" s="7">
        <v>32195</v>
      </c>
      <c r="BH81" s="7">
        <v>20000</v>
      </c>
      <c r="BI81" s="7">
        <v>643.9</v>
      </c>
    </row>
    <row r="82" spans="1:61" x14ac:dyDescent="0.35">
      <c r="A82">
        <v>2024</v>
      </c>
      <c r="B82" t="s">
        <v>51</v>
      </c>
      <c r="C82" t="s">
        <v>79</v>
      </c>
      <c r="D82" s="1" t="d">
        <v>2021-11-15</v>
      </c>
      <c r="E82" s="11">
        <f>Table1[[#This Row],[year]]-YEAR(Table1[[#This Row],[launch_date]])</f>
        <v>3</v>
      </c>
      <c r="F82">
        <v>16</v>
      </c>
      <c r="G82">
        <f>SKEW(Table1[memory_gb])</f>
        <v>4.4615286901097004</v>
      </c>
      <c r="H82">
        <f>LN(1+Table1[[#This Row],[memory_gb]])</f>
        <v>2.8332133440562162</v>
      </c>
      <c r="I82">
        <f>SKEW(Table1[log(memory_gb)])</f>
        <v>-0.12349734745152563</v>
      </c>
      <c r="J82">
        <v>256</v>
      </c>
      <c r="K82" cm="1">
        <f t="array" ref="K82">SKEW(Table1[fp16_tflops])</f>
        <v>3.0570434318989719</v>
      </c>
      <c r="L82">
        <f>LN(1+Table1[[#This Row],[fp16_tflops]])</f>
        <v>5.5490760848952201</v>
      </c>
      <c r="M82">
        <f t="shared" si="5"/>
        <v>0.68704558327061815</v>
      </c>
      <c r="N82">
        <v>250</v>
      </c>
      <c r="O82" cm="1">
        <f t="array" ref="O82">SKEW(Table1[tdp_watts])</f>
        <v>6.0149845187563606</v>
      </c>
      <c r="P82">
        <f>LN(1+Table1[[#This Row],[tdp_watts]])</f>
        <v>5.5254529391317835</v>
      </c>
      <c r="Q82" s="10">
        <f>(Table1[[#This Row],[fp16_tflops]]/Table1[[#This Row],[tdp_watts]])</f>
        <v>1.024</v>
      </c>
      <c r="R82">
        <f>SKEW(Table1[log(tdp_watts)])</f>
        <v>1.0730603511378074</v>
      </c>
      <c r="S82">
        <v>381</v>
      </c>
      <c r="T82">
        <f>SKEW(Table1[estimated_shipments_units])</f>
        <v>5.1829756087773573</v>
      </c>
      <c r="U82">
        <f>LN(1+Table1[[#This Row],[estimated_shipments_units]])</f>
        <v>5.9454206086065753</v>
      </c>
      <c r="V82">
        <f t="shared" si="6"/>
        <v>0.8601424052715978</v>
      </c>
      <c r="W82">
        <v>15000</v>
      </c>
      <c r="X82">
        <f>SKEW(Table1[estimated_asp_usd])</f>
        <v>6.1553602568167474</v>
      </c>
      <c r="Y82">
        <f>LN(1+Table1[[#This Row],[estimated_asp_usd]])</f>
        <v>9.6158721445288897</v>
      </c>
      <c r="Z82">
        <f>SKEW(Table1[log(estimated_asp_usd)])</f>
        <v>-2.8993473795412101</v>
      </c>
      <c r="AA82">
        <v>5.7</v>
      </c>
      <c r="AB82">
        <f>SKEW(Table1[estimated_revenue_usd_m])</f>
        <v>5.8862244869270315</v>
      </c>
      <c r="AC82">
        <f>LN(1+Table1[[#This Row],[estimated_revenue_usd_m]])</f>
        <v>1.9021075263969205</v>
      </c>
      <c r="AD82">
        <f>SKEW(Table1[log(estimated_revenue_usd)])</f>
        <v>0.29428154884363278</v>
      </c>
      <c r="AE82" t="s">
        <v>80</v>
      </c>
      <c r="BD82" s="6">
        <v>32</v>
      </c>
      <c r="BE82" s="6">
        <v>100</v>
      </c>
      <c r="BF82" s="6">
        <v>300</v>
      </c>
      <c r="BG82" s="6">
        <v>6128</v>
      </c>
      <c r="BH82" s="6">
        <v>15000</v>
      </c>
      <c r="BI82" s="6">
        <v>91.9</v>
      </c>
    </row>
    <row r="83" spans="1:61" x14ac:dyDescent="0.35">
      <c r="A83">
        <v>2025</v>
      </c>
      <c r="B83" t="s">
        <v>51</v>
      </c>
      <c r="C83" t="s">
        <v>79</v>
      </c>
      <c r="D83" s="1" t="d">
        <v>2021-11-15</v>
      </c>
      <c r="E83" s="11">
        <f>Table1[[#This Row],[year]]-YEAR(Table1[[#This Row],[launch_date]])</f>
        <v>4</v>
      </c>
      <c r="F83">
        <v>16</v>
      </c>
      <c r="G83">
        <f>SKEW(Table1[memory_gb])</f>
        <v>4.4615286901097004</v>
      </c>
      <c r="H83">
        <f>LN(1+Table1[[#This Row],[memory_gb]])</f>
        <v>2.8332133440562162</v>
      </c>
      <c r="I83">
        <f>SKEW(Table1[log(memory_gb)])</f>
        <v>-0.12349734745152563</v>
      </c>
      <c r="J83">
        <v>256</v>
      </c>
      <c r="K83" cm="1">
        <f t="array" ref="K83">SKEW(Table1[fp16_tflops])</f>
        <v>3.0570434318989719</v>
      </c>
      <c r="L83">
        <f>LN(1+Table1[[#This Row],[fp16_tflops]])</f>
        <v>5.5490760848952201</v>
      </c>
      <c r="M83">
        <f t="shared" si="5"/>
        <v>0.68845428095053629</v>
      </c>
      <c r="N83">
        <v>250</v>
      </c>
      <c r="O83" cm="1">
        <f t="array" ref="O83">SKEW(Table1[tdp_watts])</f>
        <v>6.0149845187563606</v>
      </c>
      <c r="P83">
        <f>LN(1+Table1[[#This Row],[tdp_watts]])</f>
        <v>5.5254529391317835</v>
      </c>
      <c r="Q83" s="10">
        <f>(Table1[[#This Row],[fp16_tflops]]/Table1[[#This Row],[tdp_watts]])</f>
        <v>1.024</v>
      </c>
      <c r="R83">
        <f>SKEW(Table1[log(tdp_watts)])</f>
        <v>1.0730603511378074</v>
      </c>
      <c r="S83">
        <v>146</v>
      </c>
      <c r="T83">
        <f>SKEW(Table1[estimated_shipments_units])</f>
        <v>5.1829756087773573</v>
      </c>
      <c r="U83">
        <f>LN(1+Table1[[#This Row],[estimated_shipments_units]])</f>
        <v>4.990432586778736</v>
      </c>
      <c r="V83">
        <f t="shared" si="6"/>
        <v>0.82319498730936402</v>
      </c>
      <c r="W83">
        <v>15000</v>
      </c>
      <c r="X83">
        <f>SKEW(Table1[estimated_asp_usd])</f>
        <v>6.1553602568167474</v>
      </c>
      <c r="Y83">
        <f>LN(1+Table1[[#This Row],[estimated_asp_usd]])</f>
        <v>9.6158721445288897</v>
      </c>
      <c r="Z83">
        <f>SKEW(Table1[log(estimated_asp_usd)])</f>
        <v>-2.8993473795412101</v>
      </c>
      <c r="AA83">
        <v>2.2000000000000002</v>
      </c>
      <c r="AB83">
        <f>SKEW(Table1[estimated_revenue_usd_m])</f>
        <v>5.8862244869270315</v>
      </c>
      <c r="AC83">
        <f>LN(1+Table1[[#This Row],[estimated_revenue_usd_m]])</f>
        <v>1.1631508098056809</v>
      </c>
      <c r="AD83">
        <f>SKEW(Table1[log(estimated_revenue_usd)])</f>
        <v>0.29428154884363278</v>
      </c>
      <c r="AE83" t="s">
        <v>80</v>
      </c>
      <c r="BD83" s="7">
        <v>32</v>
      </c>
      <c r="BE83" s="7">
        <v>100</v>
      </c>
      <c r="BF83" s="7">
        <v>300</v>
      </c>
      <c r="BG83" s="7">
        <v>2719</v>
      </c>
      <c r="BH83" s="7">
        <v>15000</v>
      </c>
      <c r="BI83" s="7">
        <v>40.799999999999997</v>
      </c>
    </row>
    <row r="84" spans="1:61" x14ac:dyDescent="0.35">
      <c r="A84">
        <v>2026</v>
      </c>
      <c r="B84" t="s">
        <v>51</v>
      </c>
      <c r="C84" t="s">
        <v>79</v>
      </c>
      <c r="D84" s="1" t="d">
        <v>2021-11-15</v>
      </c>
      <c r="E84" s="11">
        <f>Table1[[#This Row],[year]]-YEAR(Table1[[#This Row],[launch_date]])</f>
        <v>5</v>
      </c>
      <c r="F84">
        <v>16</v>
      </c>
      <c r="G84">
        <f>SKEW(Table1[memory_gb])</f>
        <v>4.4615286901097004</v>
      </c>
      <c r="H84">
        <f>LN(1+Table1[[#This Row],[memory_gb]])</f>
        <v>2.8332133440562162</v>
      </c>
      <c r="I84">
        <f>SKEW(Table1[log(memory_gb)])</f>
        <v>-0.12349734745152563</v>
      </c>
      <c r="J84">
        <v>256</v>
      </c>
      <c r="K84" cm="1">
        <f t="array" ref="K84">SKEW(Table1[fp16_tflops])</f>
        <v>3.0570434318989719</v>
      </c>
      <c r="L84">
        <f>LN(1+Table1[[#This Row],[fp16_tflops]])</f>
        <v>5.5490760848952201</v>
      </c>
      <c r="M84">
        <f t="shared" si="5"/>
        <v>0.69004228029768266</v>
      </c>
      <c r="N84">
        <v>250</v>
      </c>
      <c r="O84" cm="1">
        <f t="array" ref="O84">SKEW(Table1[tdp_watts])</f>
        <v>6.0149845187563606</v>
      </c>
      <c r="P84">
        <f>LN(1+Table1[[#This Row],[tdp_watts]])</f>
        <v>5.5254529391317835</v>
      </c>
      <c r="Q84" s="10">
        <f>(Table1[[#This Row],[fp16_tflops]]/Table1[[#This Row],[tdp_watts]])</f>
        <v>1.024</v>
      </c>
      <c r="R84">
        <f>SKEW(Table1[log(tdp_watts)])</f>
        <v>1.0730603511378074</v>
      </c>
      <c r="S84">
        <v>173</v>
      </c>
      <c r="T84">
        <f>SKEW(Table1[estimated_shipments_units])</f>
        <v>5.1829756087773573</v>
      </c>
      <c r="U84">
        <f>LN(1+Table1[[#This Row],[estimated_shipments_units]])</f>
        <v>5.1590552992145291</v>
      </c>
      <c r="V84">
        <f t="shared" si="6"/>
        <v>0.78606384921305283</v>
      </c>
      <c r="W84">
        <v>15000</v>
      </c>
      <c r="X84">
        <f>SKEW(Table1[estimated_asp_usd])</f>
        <v>6.1553602568167474</v>
      </c>
      <c r="Y84">
        <f>LN(1+Table1[[#This Row],[estimated_asp_usd]])</f>
        <v>9.6158721445288897</v>
      </c>
      <c r="Z84">
        <f>SKEW(Table1[log(estimated_asp_usd)])</f>
        <v>-2.8993473795412101</v>
      </c>
      <c r="AA84">
        <v>2.6</v>
      </c>
      <c r="AB84">
        <f>SKEW(Table1[estimated_revenue_usd_m])</f>
        <v>5.8862244869270315</v>
      </c>
      <c r="AC84">
        <f>LN(1+Table1[[#This Row],[estimated_revenue_usd_m]])</f>
        <v>1.2809338454620642</v>
      </c>
      <c r="AD84">
        <f>SKEW(Table1[log(estimated_revenue_usd)])</f>
        <v>0.29428154884363278</v>
      </c>
      <c r="AE84" t="s">
        <v>80</v>
      </c>
      <c r="BD84" s="6">
        <v>32</v>
      </c>
      <c r="BE84" s="6">
        <v>100</v>
      </c>
      <c r="BF84" s="6">
        <v>300</v>
      </c>
      <c r="BG84" s="6">
        <v>3098</v>
      </c>
      <c r="BH84" s="6">
        <v>15000</v>
      </c>
      <c r="BI84" s="6">
        <v>46.5</v>
      </c>
    </row>
    <row r="85" spans="1:61" x14ac:dyDescent="0.35">
      <c r="A85">
        <v>2020</v>
      </c>
      <c r="B85" t="s">
        <v>48</v>
      </c>
      <c r="C85" t="s">
        <v>75</v>
      </c>
      <c r="D85" s="1" t="d">
        <v>2019-08-23</v>
      </c>
      <c r="E85" s="11">
        <f>Table1[[#This Row],[year]]-YEAR(Table1[[#This Row],[launch_date]])</f>
        <v>1</v>
      </c>
      <c r="F85">
        <v>32</v>
      </c>
      <c r="G85">
        <f>SKEW(Table1[memory_gb])</f>
        <v>4.4615286901097004</v>
      </c>
      <c r="H85">
        <f>LN(1+Table1[[#This Row],[memory_gb]])</f>
        <v>3.4965075614664802</v>
      </c>
      <c r="I85">
        <f>SKEW(Table1[log(memory_gb)])</f>
        <v>-0.12349734745152563</v>
      </c>
      <c r="J85">
        <v>256</v>
      </c>
      <c r="K85" cm="1">
        <f t="array" ref="K85">SKEW(Table1[fp16_tflops])</f>
        <v>3.0570434318989719</v>
      </c>
      <c r="L85">
        <f>LN(1+Table1[[#This Row],[fp16_tflops]])</f>
        <v>5.5490760848952201</v>
      </c>
      <c r="M85">
        <f t="shared" si="5"/>
        <v>0.69182458504427269</v>
      </c>
      <c r="N85">
        <v>310</v>
      </c>
      <c r="O85" cm="1">
        <f t="array" ref="O85">SKEW(Table1[tdp_watts])</f>
        <v>6.0149845187563606</v>
      </c>
      <c r="P85">
        <f>LN(1+Table1[[#This Row],[tdp_watts]])</f>
        <v>5.7397929121792339</v>
      </c>
      <c r="Q85" s="10">
        <f>(Table1[[#This Row],[fp16_tflops]]/Table1[[#This Row],[tdp_watts]])</f>
        <v>0.82580645161290323</v>
      </c>
      <c r="R85">
        <f>SKEW(Table1[log(tdp_watts)])</f>
        <v>1.0730603511378074</v>
      </c>
      <c r="S85">
        <v>1077</v>
      </c>
      <c r="T85">
        <f>SKEW(Table1[estimated_shipments_units])</f>
        <v>5.1829756087773573</v>
      </c>
      <c r="U85">
        <f>LN(1+Table1[[#This Row],[estimated_shipments_units]])</f>
        <v>6.9828627514689421</v>
      </c>
      <c r="V85">
        <f t="shared" si="6"/>
        <v>0.74514859571087055</v>
      </c>
      <c r="W85">
        <v>15000</v>
      </c>
      <c r="X85">
        <f>SKEW(Table1[estimated_asp_usd])</f>
        <v>6.1553602568167474</v>
      </c>
      <c r="Y85">
        <f>LN(1+Table1[[#This Row],[estimated_asp_usd]])</f>
        <v>9.6158721445288897</v>
      </c>
      <c r="Z85">
        <f>SKEW(Table1[log(estimated_asp_usd)])</f>
        <v>-2.8993473795412101</v>
      </c>
      <c r="AA85">
        <v>16.2</v>
      </c>
      <c r="AB85">
        <f>SKEW(Table1[estimated_revenue_usd_m])</f>
        <v>5.8862244869270315</v>
      </c>
      <c r="AC85">
        <f>LN(1+Table1[[#This Row],[estimated_revenue_usd_m]])</f>
        <v>2.8449093838194073</v>
      </c>
      <c r="AD85">
        <f>SKEW(Table1[log(estimated_revenue_usd)])</f>
        <v>0.29428154884363278</v>
      </c>
      <c r="AE85" t="s">
        <v>76</v>
      </c>
      <c r="BD85" s="7">
        <v>32</v>
      </c>
      <c r="BE85" s="7">
        <v>100</v>
      </c>
      <c r="BF85" s="7">
        <v>300</v>
      </c>
      <c r="BG85" s="7">
        <v>2572</v>
      </c>
      <c r="BH85" s="7">
        <v>15000</v>
      </c>
      <c r="BI85" s="7">
        <v>38.6</v>
      </c>
    </row>
    <row r="86" spans="1:61" x14ac:dyDescent="0.35">
      <c r="A86">
        <v>2021</v>
      </c>
      <c r="B86" t="s">
        <v>48</v>
      </c>
      <c r="C86" t="s">
        <v>75</v>
      </c>
      <c r="D86" s="1" t="d">
        <v>2019-08-23</v>
      </c>
      <c r="E86" s="11">
        <f>Table1[[#This Row],[year]]-YEAR(Table1[[#This Row],[launch_date]])</f>
        <v>2</v>
      </c>
      <c r="F86">
        <v>32</v>
      </c>
      <c r="G86">
        <f>SKEW(Table1[memory_gb])</f>
        <v>4.4615286901097004</v>
      </c>
      <c r="H86">
        <f>LN(1+Table1[[#This Row],[memory_gb]])</f>
        <v>3.4965075614664802</v>
      </c>
      <c r="I86">
        <f>SKEW(Table1[log(memory_gb)])</f>
        <v>-0.12349734745152563</v>
      </c>
      <c r="J86">
        <v>256</v>
      </c>
      <c r="K86" cm="1">
        <f t="array" ref="K86">SKEW(Table1[fp16_tflops])</f>
        <v>3.0570434318989719</v>
      </c>
      <c r="L86">
        <f>LN(1+Table1[[#This Row],[fp16_tflops]])</f>
        <v>5.5490760848952201</v>
      </c>
      <c r="M86">
        <f t="shared" si="5"/>
        <v>0.6938178746035738</v>
      </c>
      <c r="N86">
        <v>310</v>
      </c>
      <c r="O86" cm="1">
        <f t="array" ref="O86">SKEW(Table1[tdp_watts])</f>
        <v>6.0149845187563606</v>
      </c>
      <c r="P86">
        <f>LN(1+Table1[[#This Row],[tdp_watts]])</f>
        <v>5.7397929121792339</v>
      </c>
      <c r="Q86" s="10">
        <f>(Table1[[#This Row],[fp16_tflops]]/Table1[[#This Row],[tdp_watts]])</f>
        <v>0.82580645161290323</v>
      </c>
      <c r="R86">
        <f>SKEW(Table1[log(tdp_watts)])</f>
        <v>1.0730603511378074</v>
      </c>
      <c r="S86">
        <v>812</v>
      </c>
      <c r="T86">
        <f>SKEW(Table1[estimated_shipments_units])</f>
        <v>5.1829756087773573</v>
      </c>
      <c r="U86">
        <f>LN(1+Table1[[#This Row],[estimated_shipments_units]])</f>
        <v>6.7007311095478101</v>
      </c>
      <c r="V86">
        <f t="shared" si="6"/>
        <v>0.73190254167856106</v>
      </c>
      <c r="W86">
        <v>15000</v>
      </c>
      <c r="X86">
        <f>SKEW(Table1[estimated_asp_usd])</f>
        <v>6.1553602568167474</v>
      </c>
      <c r="Y86">
        <f>LN(1+Table1[[#This Row],[estimated_asp_usd]])</f>
        <v>9.6158721445288897</v>
      </c>
      <c r="Z86">
        <f>SKEW(Table1[log(estimated_asp_usd)])</f>
        <v>-2.8993473795412101</v>
      </c>
      <c r="AA86">
        <v>12.2</v>
      </c>
      <c r="AB86">
        <f>SKEW(Table1[estimated_revenue_usd_m])</f>
        <v>5.8862244869270315</v>
      </c>
      <c r="AC86">
        <f>LN(1+Table1[[#This Row],[estimated_revenue_usd_m]])</f>
        <v>2.5802168295923251</v>
      </c>
      <c r="AD86">
        <f>SKEW(Table1[log(estimated_revenue_usd)])</f>
        <v>0.29428154884363278</v>
      </c>
      <c r="AE86" t="s">
        <v>76</v>
      </c>
      <c r="BD86" s="6">
        <v>32</v>
      </c>
      <c r="BE86" s="6">
        <v>100</v>
      </c>
      <c r="BF86" s="6">
        <v>300</v>
      </c>
      <c r="BG86" s="6">
        <v>3437</v>
      </c>
      <c r="BH86" s="6">
        <v>15000</v>
      </c>
      <c r="BI86" s="6">
        <v>51.6</v>
      </c>
    </row>
    <row r="87" spans="1:61" x14ac:dyDescent="0.35">
      <c r="A87">
        <v>2022</v>
      </c>
      <c r="B87" t="s">
        <v>48</v>
      </c>
      <c r="C87" t="s">
        <v>75</v>
      </c>
      <c r="D87" s="1" t="d">
        <v>2019-08-23</v>
      </c>
      <c r="E87" s="11">
        <f>Table1[[#This Row],[year]]-YEAR(Table1[[#This Row],[launch_date]])</f>
        <v>3</v>
      </c>
      <c r="F87">
        <v>32</v>
      </c>
      <c r="G87">
        <f>SKEW(Table1[memory_gb])</f>
        <v>4.4615286901097004</v>
      </c>
      <c r="H87">
        <f>LN(1+Table1[[#This Row],[memory_gb]])</f>
        <v>3.4965075614664802</v>
      </c>
      <c r="I87">
        <f>SKEW(Table1[log(memory_gb)])</f>
        <v>-0.12349734745152563</v>
      </c>
      <c r="J87">
        <v>256</v>
      </c>
      <c r="K87" cm="1">
        <f t="array" ref="K87">SKEW(Table1[fp16_tflops])</f>
        <v>3.0570434318989719</v>
      </c>
      <c r="L87">
        <f>LN(1+Table1[[#This Row],[fp16_tflops]])</f>
        <v>5.5490760848952201</v>
      </c>
      <c r="M87">
        <f t="shared" si="5"/>
        <v>0.69604074608759914</v>
      </c>
      <c r="N87">
        <v>310</v>
      </c>
      <c r="O87" cm="1">
        <f t="array" ref="O87">SKEW(Table1[tdp_watts])</f>
        <v>6.0149845187563606</v>
      </c>
      <c r="P87">
        <f>LN(1+Table1[[#This Row],[tdp_watts]])</f>
        <v>5.7397929121792339</v>
      </c>
      <c r="Q87" s="10">
        <f>(Table1[[#This Row],[fp16_tflops]]/Table1[[#This Row],[tdp_watts]])</f>
        <v>0.82580645161290323</v>
      </c>
      <c r="R87">
        <f>SKEW(Table1[log(tdp_watts)])</f>
        <v>1.0730603511378074</v>
      </c>
      <c r="S87">
        <v>337</v>
      </c>
      <c r="T87">
        <f>SKEW(Table1[estimated_shipments_units])</f>
        <v>5.1829756087773573</v>
      </c>
      <c r="U87">
        <f>LN(1+Table1[[#This Row],[estimated_shipments_units]])</f>
        <v>5.8230458954830189</v>
      </c>
      <c r="V87">
        <f t="shared" si="6"/>
        <v>0.70840724410452283</v>
      </c>
      <c r="W87">
        <v>15000</v>
      </c>
      <c r="X87">
        <f>SKEW(Table1[estimated_asp_usd])</f>
        <v>6.1553602568167474</v>
      </c>
      <c r="Y87">
        <f>LN(1+Table1[[#This Row],[estimated_asp_usd]])</f>
        <v>9.6158721445288897</v>
      </c>
      <c r="Z87">
        <f>SKEW(Table1[log(estimated_asp_usd)])</f>
        <v>-2.8993473795412101</v>
      </c>
      <c r="AA87">
        <v>5.0999999999999996</v>
      </c>
      <c r="AB87">
        <f>SKEW(Table1[estimated_revenue_usd_m])</f>
        <v>5.8862244869270315</v>
      </c>
      <c r="AC87">
        <f>LN(1+Table1[[#This Row],[estimated_revenue_usd_m]])</f>
        <v>1.8082887711792655</v>
      </c>
      <c r="AD87">
        <f>SKEW(Table1[log(estimated_revenue_usd)])</f>
        <v>0.29428154884363278</v>
      </c>
      <c r="AE87" t="s">
        <v>76</v>
      </c>
      <c r="BD87" s="7">
        <v>32</v>
      </c>
      <c r="BE87" s="7">
        <v>100</v>
      </c>
      <c r="BF87" s="7">
        <v>300</v>
      </c>
      <c r="BG87" s="7">
        <v>2504</v>
      </c>
      <c r="BH87" s="7">
        <v>15000</v>
      </c>
      <c r="BI87" s="7">
        <v>37.6</v>
      </c>
    </row>
    <row r="88" spans="1:61" x14ac:dyDescent="0.35">
      <c r="A88">
        <v>2023</v>
      </c>
      <c r="B88" t="s">
        <v>48</v>
      </c>
      <c r="C88" t="s">
        <v>75</v>
      </c>
      <c r="D88" s="1" t="d">
        <v>2019-08-23</v>
      </c>
      <c r="E88" s="11">
        <f>Table1[[#This Row],[year]]-YEAR(Table1[[#This Row],[launch_date]])</f>
        <v>4</v>
      </c>
      <c r="F88">
        <v>32</v>
      </c>
      <c r="G88">
        <f>SKEW(Table1[memory_gb])</f>
        <v>4.4615286901097004</v>
      </c>
      <c r="H88">
        <f>LN(1+Table1[[#This Row],[memory_gb]])</f>
        <v>3.4965075614664802</v>
      </c>
      <c r="I88">
        <f>SKEW(Table1[log(memory_gb)])</f>
        <v>-0.12349734745152563</v>
      </c>
      <c r="J88">
        <v>256</v>
      </c>
      <c r="K88" cm="1">
        <f t="array" ref="K88">SKEW(Table1[fp16_tflops])</f>
        <v>3.0570434318989719</v>
      </c>
      <c r="L88">
        <f>LN(1+Table1[[#This Row],[fp16_tflops]])</f>
        <v>5.5490760848952201</v>
      </c>
      <c r="M88">
        <f t="shared" si="5"/>
        <v>0.69851399989492058</v>
      </c>
      <c r="N88">
        <v>310</v>
      </c>
      <c r="O88" cm="1">
        <f t="array" ref="O88">SKEW(Table1[tdp_watts])</f>
        <v>6.0149845187563606</v>
      </c>
      <c r="P88">
        <f>LN(1+Table1[[#This Row],[tdp_watts]])</f>
        <v>5.7397929121792339</v>
      </c>
      <c r="Q88" s="10">
        <f>(Table1[[#This Row],[fp16_tflops]]/Table1[[#This Row],[tdp_watts]])</f>
        <v>0.82580645161290323</v>
      </c>
      <c r="R88">
        <f>SKEW(Table1[log(tdp_watts)])</f>
        <v>1.0730603511378074</v>
      </c>
      <c r="S88">
        <v>168</v>
      </c>
      <c r="T88">
        <f>SKEW(Table1[estimated_shipments_units])</f>
        <v>5.1829756087773573</v>
      </c>
      <c r="U88">
        <f>LN(1+Table1[[#This Row],[estimated_shipments_units]])</f>
        <v>5.1298987149230735</v>
      </c>
      <c r="V88">
        <f t="shared" si="6"/>
        <v>0.66305659888513391</v>
      </c>
      <c r="W88">
        <v>15000</v>
      </c>
      <c r="X88">
        <f>SKEW(Table1[estimated_asp_usd])</f>
        <v>6.1553602568167474</v>
      </c>
      <c r="Y88">
        <f>LN(1+Table1[[#This Row],[estimated_asp_usd]])</f>
        <v>9.6158721445288897</v>
      </c>
      <c r="Z88">
        <f>SKEW(Table1[log(estimated_asp_usd)])</f>
        <v>-2.8993473795412101</v>
      </c>
      <c r="AA88">
        <v>2.5</v>
      </c>
      <c r="AB88">
        <f>SKEW(Table1[estimated_revenue_usd_m])</f>
        <v>5.8862244869270315</v>
      </c>
      <c r="AC88">
        <f>LN(1+Table1[[#This Row],[estimated_revenue_usd_m]])</f>
        <v>1.2527629684953681</v>
      </c>
      <c r="AD88">
        <f>SKEW(Table1[log(estimated_revenue_usd)])</f>
        <v>0.29428154884363278</v>
      </c>
      <c r="AE88" t="s">
        <v>76</v>
      </c>
      <c r="BD88" s="6">
        <v>32</v>
      </c>
      <c r="BE88" s="6">
        <v>100</v>
      </c>
      <c r="BF88" s="6">
        <v>300</v>
      </c>
      <c r="BG88" s="6">
        <v>2873</v>
      </c>
      <c r="BH88" s="6">
        <v>15000</v>
      </c>
      <c r="BI88" s="6">
        <v>43.1</v>
      </c>
    </row>
    <row r="89" spans="1:61" x14ac:dyDescent="0.35">
      <c r="A89">
        <v>2024</v>
      </c>
      <c r="B89" t="s">
        <v>48</v>
      </c>
      <c r="C89" t="s">
        <v>75</v>
      </c>
      <c r="D89" s="1" t="d">
        <v>2019-08-23</v>
      </c>
      <c r="E89" s="11">
        <f>Table1[[#This Row],[year]]-YEAR(Table1[[#This Row],[launch_date]])</f>
        <v>5</v>
      </c>
      <c r="F89">
        <v>32</v>
      </c>
      <c r="G89">
        <f>SKEW(Table1[memory_gb])</f>
        <v>4.4615286901097004</v>
      </c>
      <c r="H89">
        <f>LN(1+Table1[[#This Row],[memory_gb]])</f>
        <v>3.4965075614664802</v>
      </c>
      <c r="I89">
        <f>SKEW(Table1[log(memory_gb)])</f>
        <v>-0.12349734745152563</v>
      </c>
      <c r="J89">
        <v>256</v>
      </c>
      <c r="K89" cm="1">
        <f t="array" ref="K89">SKEW(Table1[fp16_tflops])</f>
        <v>3.0570434318989719</v>
      </c>
      <c r="L89">
        <f>LN(1+Table1[[#This Row],[fp16_tflops]])</f>
        <v>5.5490760848952201</v>
      </c>
      <c r="M89">
        <f t="shared" si="5"/>
        <v>0.70126097837717205</v>
      </c>
      <c r="N89">
        <v>310</v>
      </c>
      <c r="O89" cm="1">
        <f t="array" ref="O89">SKEW(Table1[tdp_watts])</f>
        <v>6.0149845187563606</v>
      </c>
      <c r="P89">
        <f>LN(1+Table1[[#This Row],[tdp_watts]])</f>
        <v>5.7397929121792339</v>
      </c>
      <c r="Q89" s="10">
        <f>(Table1[[#This Row],[fp16_tflops]]/Table1[[#This Row],[tdp_watts]])</f>
        <v>0.82580645161290323</v>
      </c>
      <c r="R89">
        <f>SKEW(Table1[log(tdp_watts)])</f>
        <v>1.0730603511378074</v>
      </c>
      <c r="S89">
        <v>124</v>
      </c>
      <c r="T89">
        <f>SKEW(Table1[estimated_shipments_units])</f>
        <v>5.1829756087773573</v>
      </c>
      <c r="U89">
        <f>LN(1+Table1[[#This Row],[estimated_shipments_units]])</f>
        <v>4.8283137373023015</v>
      </c>
      <c r="V89">
        <f t="shared" si="6"/>
        <v>0.61529777872173863</v>
      </c>
      <c r="W89">
        <v>15000</v>
      </c>
      <c r="X89">
        <f>SKEW(Table1[estimated_asp_usd])</f>
        <v>6.1553602568167474</v>
      </c>
      <c r="Y89">
        <f>LN(1+Table1[[#This Row],[estimated_asp_usd]])</f>
        <v>9.6158721445288897</v>
      </c>
      <c r="Z89">
        <f>SKEW(Table1[log(estimated_asp_usd)])</f>
        <v>-2.8993473795412101</v>
      </c>
      <c r="AA89">
        <v>1.9</v>
      </c>
      <c r="AB89">
        <f>SKEW(Table1[estimated_revenue_usd_m])</f>
        <v>5.8862244869270315</v>
      </c>
      <c r="AC89">
        <f>LN(1+Table1[[#This Row],[estimated_revenue_usd_m]])</f>
        <v>1.0647107369924282</v>
      </c>
      <c r="AD89">
        <f>SKEW(Table1[log(estimated_revenue_usd)])</f>
        <v>0.29428154884363278</v>
      </c>
      <c r="AE89" t="s">
        <v>76</v>
      </c>
      <c r="BD89" s="7">
        <v>40</v>
      </c>
      <c r="BE89" s="7">
        <v>312</v>
      </c>
      <c r="BF89" s="7">
        <v>400</v>
      </c>
      <c r="BG89" s="7">
        <v>32054</v>
      </c>
      <c r="BH89" s="7">
        <v>15000</v>
      </c>
      <c r="BI89" s="7">
        <v>480.8</v>
      </c>
    </row>
    <row r="90" spans="1:61" x14ac:dyDescent="0.35">
      <c r="A90">
        <v>2025</v>
      </c>
      <c r="B90" t="s">
        <v>48</v>
      </c>
      <c r="C90" t="s">
        <v>75</v>
      </c>
      <c r="D90" s="1" t="d">
        <v>2019-08-23</v>
      </c>
      <c r="E90" s="11">
        <f>Table1[[#This Row],[year]]-YEAR(Table1[[#This Row],[launch_date]])</f>
        <v>6</v>
      </c>
      <c r="F90">
        <v>32</v>
      </c>
      <c r="G90">
        <f>SKEW(Table1[memory_gb])</f>
        <v>4.4615286901097004</v>
      </c>
      <c r="H90">
        <f>LN(1+Table1[[#This Row],[memory_gb]])</f>
        <v>3.4965075614664802</v>
      </c>
      <c r="I90">
        <f>SKEW(Table1[log(memory_gb)])</f>
        <v>-0.12349734745152563</v>
      </c>
      <c r="J90">
        <v>256</v>
      </c>
      <c r="K90" cm="1">
        <f t="array" ref="K90">SKEW(Table1[fp16_tflops])</f>
        <v>3.0570434318989719</v>
      </c>
      <c r="L90">
        <f>LN(1+Table1[[#This Row],[fp16_tflops]])</f>
        <v>5.5490760848952201</v>
      </c>
      <c r="M90">
        <f t="shared" si="5"/>
        <v>0.70430796955665098</v>
      </c>
      <c r="N90">
        <v>310</v>
      </c>
      <c r="O90" cm="1">
        <f t="array" ref="O90">SKEW(Table1[tdp_watts])</f>
        <v>6.0149845187563606</v>
      </c>
      <c r="P90">
        <f>LN(1+Table1[[#This Row],[tdp_watts]])</f>
        <v>5.7397929121792339</v>
      </c>
      <c r="Q90" s="10">
        <f>(Table1[[#This Row],[fp16_tflops]]/Table1[[#This Row],[tdp_watts]])</f>
        <v>0.82580645161290323</v>
      </c>
      <c r="R90">
        <f>SKEW(Table1[log(tdp_watts)])</f>
        <v>1.0730603511378074</v>
      </c>
      <c r="S90">
        <v>178</v>
      </c>
      <c r="T90">
        <f>SKEW(Table1[estimated_shipments_units])</f>
        <v>5.1829756087773573</v>
      </c>
      <c r="U90">
        <f>LN(1+Table1[[#This Row],[estimated_shipments_units]])</f>
        <v>5.1873858058407549</v>
      </c>
      <c r="V90">
        <f t="shared" si="6"/>
        <v>0.57202863135845117</v>
      </c>
      <c r="W90">
        <v>15000</v>
      </c>
      <c r="X90">
        <f>SKEW(Table1[estimated_asp_usd])</f>
        <v>6.1553602568167474</v>
      </c>
      <c r="Y90">
        <f>LN(1+Table1[[#This Row],[estimated_asp_usd]])</f>
        <v>9.6158721445288897</v>
      </c>
      <c r="Z90">
        <f>SKEW(Table1[log(estimated_asp_usd)])</f>
        <v>-2.8993473795412101</v>
      </c>
      <c r="AA90">
        <v>2.7</v>
      </c>
      <c r="AB90">
        <f>SKEW(Table1[estimated_revenue_usd_m])</f>
        <v>5.8862244869270315</v>
      </c>
      <c r="AC90">
        <f>LN(1+Table1[[#This Row],[estimated_revenue_usd_m]])</f>
        <v>1.3083328196501789</v>
      </c>
      <c r="AD90">
        <f>SKEW(Table1[log(estimated_revenue_usd)])</f>
        <v>0.29428154884363278</v>
      </c>
      <c r="AE90" t="s">
        <v>76</v>
      </c>
      <c r="BD90" s="6">
        <v>40</v>
      </c>
      <c r="BE90" s="6">
        <v>312</v>
      </c>
      <c r="BF90" s="6">
        <v>400</v>
      </c>
      <c r="BG90" s="6">
        <v>204990</v>
      </c>
      <c r="BH90" s="6">
        <v>15000</v>
      </c>
      <c r="BI90" s="6">
        <v>3074.8</v>
      </c>
    </row>
    <row r="91" spans="1:61" x14ac:dyDescent="0.35">
      <c r="A91">
        <v>2026</v>
      </c>
      <c r="B91" t="s">
        <v>48</v>
      </c>
      <c r="C91" t="s">
        <v>75</v>
      </c>
      <c r="D91" s="1" t="d">
        <v>2019-08-23</v>
      </c>
      <c r="E91" s="11">
        <f>Table1[[#This Row],[year]]-YEAR(Table1[[#This Row],[launch_date]])</f>
        <v>7</v>
      </c>
      <c r="F91">
        <v>32</v>
      </c>
      <c r="G91">
        <f>SKEW(Table1[memory_gb])</f>
        <v>4.4615286901097004</v>
      </c>
      <c r="H91">
        <f>LN(1+Table1[[#This Row],[memory_gb]])</f>
        <v>3.4965075614664802</v>
      </c>
      <c r="I91">
        <f>SKEW(Table1[log(memory_gb)])</f>
        <v>-0.12349734745152563</v>
      </c>
      <c r="J91">
        <v>256</v>
      </c>
      <c r="K91" cm="1">
        <f t="array" ref="K91">SKEW(Table1[fp16_tflops])</f>
        <v>3.0570434318989719</v>
      </c>
      <c r="L91">
        <f>LN(1+Table1[[#This Row],[fp16_tflops]])</f>
        <v>5.5490760848952201</v>
      </c>
      <c r="M91">
        <f t="shared" si="5"/>
        <v>0.70768469107768928</v>
      </c>
      <c r="N91">
        <v>310</v>
      </c>
      <c r="O91" cm="1">
        <f t="array" ref="O91">SKEW(Table1[tdp_watts])</f>
        <v>6.0149845187563606</v>
      </c>
      <c r="P91">
        <f>LN(1+Table1[[#This Row],[tdp_watts]])</f>
        <v>5.7397929121792339</v>
      </c>
      <c r="Q91" s="10">
        <f>(Table1[[#This Row],[fp16_tflops]]/Table1[[#This Row],[tdp_watts]])</f>
        <v>0.82580645161290323</v>
      </c>
      <c r="R91">
        <f>SKEW(Table1[log(tdp_watts)])</f>
        <v>1.0730603511378074</v>
      </c>
      <c r="S91">
        <v>230</v>
      </c>
      <c r="T91">
        <f>SKEW(Table1[estimated_shipments_units])</f>
        <v>5.1829756087773573</v>
      </c>
      <c r="U91">
        <f>LN(1+Table1[[#This Row],[estimated_shipments_units]])</f>
        <v>5.4424177105217932</v>
      </c>
      <c r="V91">
        <f t="shared" si="6"/>
        <v>0.51988406760453498</v>
      </c>
      <c r="W91">
        <v>15000</v>
      </c>
      <c r="X91">
        <f>SKEW(Table1[estimated_asp_usd])</f>
        <v>6.1553602568167474</v>
      </c>
      <c r="Y91">
        <f>LN(1+Table1[[#This Row],[estimated_asp_usd]])</f>
        <v>9.6158721445288897</v>
      </c>
      <c r="Z91">
        <f>SKEW(Table1[log(estimated_asp_usd)])</f>
        <v>-2.8993473795412101</v>
      </c>
      <c r="AA91">
        <v>3.5</v>
      </c>
      <c r="AB91">
        <f>SKEW(Table1[estimated_revenue_usd_m])</f>
        <v>5.8862244869270315</v>
      </c>
      <c r="AC91">
        <f>LN(1+Table1[[#This Row],[estimated_revenue_usd_m]])</f>
        <v>1.5040773967762742</v>
      </c>
      <c r="AD91">
        <f>SKEW(Table1[log(estimated_revenue_usd)])</f>
        <v>0.29428154884363278</v>
      </c>
      <c r="AE91" t="s">
        <v>76</v>
      </c>
      <c r="BD91" s="7">
        <v>40</v>
      </c>
      <c r="BE91" s="7">
        <v>312</v>
      </c>
      <c r="BF91" s="7">
        <v>400</v>
      </c>
      <c r="BG91" s="7">
        <v>145343</v>
      </c>
      <c r="BH91" s="7">
        <v>15000</v>
      </c>
      <c r="BI91" s="7">
        <v>2180.1</v>
      </c>
    </row>
    <row r="92" spans="1:61" x14ac:dyDescent="0.35">
      <c r="A92">
        <v>2020</v>
      </c>
      <c r="B92" t="s">
        <v>16</v>
      </c>
      <c r="C92" t="s">
        <v>12</v>
      </c>
      <c r="D92" s="1" t="d">
        <v>2020-05-14</v>
      </c>
      <c r="E92" s="11">
        <f>Table1[[#This Row],[year]]-YEAR(Table1[[#This Row],[launch_date]])</f>
        <v>0</v>
      </c>
      <c r="F92">
        <v>40</v>
      </c>
      <c r="G92">
        <f>SKEW(Table1[memory_gb])</f>
        <v>4.4615286901097004</v>
      </c>
      <c r="H92">
        <f>LN(1+Table1[[#This Row],[memory_gb]])</f>
        <v>3.713572066704308</v>
      </c>
      <c r="I92">
        <f>SKEW(Table1[log(memory_gb)])</f>
        <v>-0.12349734745152563</v>
      </c>
      <c r="J92">
        <v>312</v>
      </c>
      <c r="K92" cm="1">
        <f t="array" ref="K92">SKEW(Table1[fp16_tflops])</f>
        <v>3.0570434318989719</v>
      </c>
      <c r="L92">
        <f>LN(1+Table1[[#This Row],[fp16_tflops]])</f>
        <v>5.7462031905401529</v>
      </c>
      <c r="M92">
        <f t="shared" si="5"/>
        <v>0.71142487379203656</v>
      </c>
      <c r="N92">
        <v>400</v>
      </c>
      <c r="O92" cm="1">
        <f t="array" ref="O92">SKEW(Table1[tdp_watts])</f>
        <v>6.0149845187563606</v>
      </c>
      <c r="P92">
        <f>LN(1+Table1[[#This Row],[tdp_watts]])</f>
        <v>5.9939614273065693</v>
      </c>
      <c r="Q92" s="10">
        <f>(Table1[[#This Row],[fp16_tflops]]/Table1[[#This Row],[tdp_watts]])</f>
        <v>0.78</v>
      </c>
      <c r="R92">
        <f>SKEW(Table1[log(tdp_watts)])</f>
        <v>1.0730603511378074</v>
      </c>
      <c r="S92">
        <v>32054</v>
      </c>
      <c r="T92">
        <f>SKEW(Table1[estimated_shipments_units])</f>
        <v>5.1829756087773573</v>
      </c>
      <c r="U92">
        <f>LN(1+Table1[[#This Row],[estimated_shipments_units]])</f>
        <v>10.375208456421358</v>
      </c>
      <c r="V92">
        <f t="shared" si="6"/>
        <v>0.4631079769446419</v>
      </c>
      <c r="W92">
        <v>15000</v>
      </c>
      <c r="X92">
        <f>SKEW(Table1[estimated_asp_usd])</f>
        <v>6.1553602568167474</v>
      </c>
      <c r="Y92">
        <f>LN(1+Table1[[#This Row],[estimated_asp_usd]])</f>
        <v>9.6158721445288897</v>
      </c>
      <c r="Z92">
        <f>SKEW(Table1[log(estimated_asp_usd)])</f>
        <v>-2.8993473795412101</v>
      </c>
      <c r="AA92">
        <v>480.8</v>
      </c>
      <c r="AB92">
        <f>SKEW(Table1[estimated_revenue_usd_m])</f>
        <v>5.8862244869270315</v>
      </c>
      <c r="AC92">
        <f>LN(1+Table1[[#This Row],[estimated_revenue_usd_m]])</f>
        <v>6.1775290901807711</v>
      </c>
      <c r="AD92">
        <f>SKEW(Table1[log(estimated_revenue_usd)])</f>
        <v>0.29428154884363278</v>
      </c>
      <c r="AE92" t="s">
        <v>17</v>
      </c>
      <c r="BD92" s="6">
        <v>40</v>
      </c>
      <c r="BE92" s="6">
        <v>312</v>
      </c>
      <c r="BF92" s="6">
        <v>400</v>
      </c>
      <c r="BG92" s="6">
        <v>76814</v>
      </c>
      <c r="BH92" s="6">
        <v>15000</v>
      </c>
      <c r="BI92" s="6">
        <v>1152.2</v>
      </c>
    </row>
    <row r="93" spans="1:61" x14ac:dyDescent="0.35">
      <c r="A93">
        <v>2021</v>
      </c>
      <c r="B93" t="s">
        <v>16</v>
      </c>
      <c r="C93" t="s">
        <v>12</v>
      </c>
      <c r="D93" s="1" t="d">
        <v>2020-05-14</v>
      </c>
      <c r="E93" s="11">
        <f>Table1[[#This Row],[year]]-YEAR(Table1[[#This Row],[launch_date]])</f>
        <v>1</v>
      </c>
      <c r="F93">
        <v>40</v>
      </c>
      <c r="G93">
        <f>SKEW(Table1[memory_gb])</f>
        <v>4.4615286901097004</v>
      </c>
      <c r="H93">
        <f>LN(1+Table1[[#This Row],[memory_gb]])</f>
        <v>3.713572066704308</v>
      </c>
      <c r="I93">
        <f>SKEW(Table1[log(memory_gb)])</f>
        <v>-0.12349734745152563</v>
      </c>
      <c r="J93">
        <v>312</v>
      </c>
      <c r="K93" cm="1">
        <f t="array" ref="K93">SKEW(Table1[fp16_tflops])</f>
        <v>3.0570434318989719</v>
      </c>
      <c r="L93">
        <f>LN(1+Table1[[#This Row],[fp16_tflops]])</f>
        <v>5.7462031905401529</v>
      </c>
      <c r="M93">
        <f t="shared" si="5"/>
        <v>0.74566081444856336</v>
      </c>
      <c r="N93">
        <v>400</v>
      </c>
      <c r="O93" cm="1">
        <f t="array" ref="O93">SKEW(Table1[tdp_watts])</f>
        <v>6.0149845187563606</v>
      </c>
      <c r="P93">
        <f>LN(1+Table1[[#This Row],[tdp_watts]])</f>
        <v>5.9939614273065693</v>
      </c>
      <c r="Q93" s="10">
        <f>(Table1[[#This Row],[fp16_tflops]]/Table1[[#This Row],[tdp_watts]])</f>
        <v>0.78</v>
      </c>
      <c r="R93">
        <f>SKEW(Table1[log(tdp_watts)])</f>
        <v>1.0730603511378074</v>
      </c>
      <c r="S93">
        <v>204990</v>
      </c>
      <c r="T93">
        <f>SKEW(Table1[estimated_shipments_units])</f>
        <v>5.1829756087773573</v>
      </c>
      <c r="U93">
        <f>LN(1+Table1[[#This Row],[estimated_shipments_units]])</f>
        <v>12.230721354717781</v>
      </c>
      <c r="V93">
        <f t="shared" si="6"/>
        <v>0.56025757628626727</v>
      </c>
      <c r="W93">
        <v>15000</v>
      </c>
      <c r="X93">
        <f>SKEW(Table1[estimated_asp_usd])</f>
        <v>6.1553602568167474</v>
      </c>
      <c r="Y93">
        <f>LN(1+Table1[[#This Row],[estimated_asp_usd]])</f>
        <v>9.6158721445288897</v>
      </c>
      <c r="Z93">
        <f>SKEW(Table1[log(estimated_asp_usd)])</f>
        <v>-2.8993473795412101</v>
      </c>
      <c r="AA93">
        <v>3074.8</v>
      </c>
      <c r="AB93">
        <f>SKEW(Table1[estimated_revenue_usd_m])</f>
        <v>5.8862244869270315</v>
      </c>
      <c r="AC93">
        <f>LN(1+Table1[[#This Row],[estimated_revenue_usd_m]])</f>
        <v>8.0313203090058227</v>
      </c>
      <c r="AD93">
        <f>SKEW(Table1[log(estimated_revenue_usd)])</f>
        <v>0.29428154884363278</v>
      </c>
      <c r="AE93" t="s">
        <v>17</v>
      </c>
      <c r="BD93" s="7">
        <v>40</v>
      </c>
      <c r="BE93" s="7">
        <v>312</v>
      </c>
      <c r="BF93" s="7">
        <v>400</v>
      </c>
      <c r="BG93" s="7">
        <v>28956</v>
      </c>
      <c r="BH93" s="7">
        <v>15000</v>
      </c>
      <c r="BI93" s="7">
        <v>434.3</v>
      </c>
    </row>
    <row r="94" spans="1:61" x14ac:dyDescent="0.35">
      <c r="A94">
        <v>2022</v>
      </c>
      <c r="B94" t="s">
        <v>16</v>
      </c>
      <c r="C94" t="s">
        <v>12</v>
      </c>
      <c r="D94" s="1" t="d">
        <v>2020-05-14</v>
      </c>
      <c r="E94" s="11">
        <f>Table1[[#This Row],[year]]-YEAR(Table1[[#This Row],[launch_date]])</f>
        <v>2</v>
      </c>
      <c r="F94">
        <v>40</v>
      </c>
      <c r="G94">
        <f>SKEW(Table1[memory_gb])</f>
        <v>4.4615286901097004</v>
      </c>
      <c r="H94">
        <f>LN(1+Table1[[#This Row],[memory_gb]])</f>
        <v>3.713572066704308</v>
      </c>
      <c r="I94">
        <f>SKEW(Table1[log(memory_gb)])</f>
        <v>-0.12349734745152563</v>
      </c>
      <c r="J94">
        <v>312</v>
      </c>
      <c r="K94" cm="1">
        <f t="array" ref="K94">SKEW(Table1[fp16_tflops])</f>
        <v>3.0570434318989719</v>
      </c>
      <c r="L94">
        <f>LN(1+Table1[[#This Row],[fp16_tflops]])</f>
        <v>5.7462031905401529</v>
      </c>
      <c r="M94">
        <f t="shared" si="5"/>
        <v>0.78194816120626764</v>
      </c>
      <c r="N94">
        <v>400</v>
      </c>
      <c r="O94" cm="1">
        <f t="array" ref="O94">SKEW(Table1[tdp_watts])</f>
        <v>6.0149845187563606</v>
      </c>
      <c r="P94">
        <f>LN(1+Table1[[#This Row],[tdp_watts]])</f>
        <v>5.9939614273065693</v>
      </c>
      <c r="Q94" s="10">
        <f>(Table1[[#This Row],[fp16_tflops]]/Table1[[#This Row],[tdp_watts]])</f>
        <v>0.78</v>
      </c>
      <c r="R94">
        <f>SKEW(Table1[log(tdp_watts)])</f>
        <v>1.0730603511378074</v>
      </c>
      <c r="S94">
        <v>145343</v>
      </c>
      <c r="T94">
        <f>SKEW(Table1[estimated_shipments_units])</f>
        <v>5.1829756087773573</v>
      </c>
      <c r="U94">
        <f>LN(1+Table1[[#This Row],[estimated_shipments_units]])</f>
        <v>11.88685862546523</v>
      </c>
      <c r="V94">
        <f t="shared" si="6"/>
        <v>0.52880031536043648</v>
      </c>
      <c r="W94">
        <v>15000</v>
      </c>
      <c r="X94">
        <f>SKEW(Table1[estimated_asp_usd])</f>
        <v>6.1553602568167474</v>
      </c>
      <c r="Y94">
        <f>LN(1+Table1[[#This Row],[estimated_asp_usd]])</f>
        <v>9.6158721445288897</v>
      </c>
      <c r="Z94">
        <f>SKEW(Table1[log(estimated_asp_usd)])</f>
        <v>-2.8993473795412101</v>
      </c>
      <c r="AA94">
        <v>2180.1</v>
      </c>
      <c r="AB94">
        <f>SKEW(Table1[estimated_revenue_usd_m])</f>
        <v>5.8862244869270315</v>
      </c>
      <c r="AC94">
        <f>LN(1+Table1[[#This Row],[estimated_revenue_usd_m]])</f>
        <v>7.6875846156778067</v>
      </c>
      <c r="AD94">
        <f>SKEW(Table1[log(estimated_revenue_usd)])</f>
        <v>0.29428154884363278</v>
      </c>
      <c r="AE94" t="s">
        <v>17</v>
      </c>
      <c r="BD94" s="6">
        <v>40</v>
      </c>
      <c r="BE94" s="6">
        <v>312</v>
      </c>
      <c r="BF94" s="6">
        <v>400</v>
      </c>
      <c r="BG94" s="6">
        <v>26870</v>
      </c>
      <c r="BH94" s="6">
        <v>15000</v>
      </c>
      <c r="BI94" s="6">
        <v>403.1</v>
      </c>
    </row>
    <row r="95" spans="1:61" x14ac:dyDescent="0.35">
      <c r="A95">
        <v>2023</v>
      </c>
      <c r="B95" t="s">
        <v>16</v>
      </c>
      <c r="C95" t="s">
        <v>12</v>
      </c>
      <c r="D95" s="1" t="d">
        <v>2020-05-14</v>
      </c>
      <c r="E95" s="11">
        <f>Table1[[#This Row],[year]]-YEAR(Table1[[#This Row],[launch_date]])</f>
        <v>3</v>
      </c>
      <c r="F95">
        <v>40</v>
      </c>
      <c r="G95">
        <f>SKEW(Table1[memory_gb])</f>
        <v>4.4615286901097004</v>
      </c>
      <c r="H95">
        <f>LN(1+Table1[[#This Row],[memory_gb]])</f>
        <v>3.713572066704308</v>
      </c>
      <c r="I95">
        <f>SKEW(Table1[log(memory_gb)])</f>
        <v>-0.12349734745152563</v>
      </c>
      <c r="J95">
        <v>312</v>
      </c>
      <c r="K95" cm="1">
        <f t="array" ref="K95">SKEW(Table1[fp16_tflops])</f>
        <v>3.0570434318989719</v>
      </c>
      <c r="L95">
        <f>LN(1+Table1[[#This Row],[fp16_tflops]])</f>
        <v>5.7462031905401529</v>
      </c>
      <c r="M95">
        <f t="shared" si="5"/>
        <v>0.82052902854422871</v>
      </c>
      <c r="N95">
        <v>400</v>
      </c>
      <c r="O95" cm="1">
        <f t="array" ref="O95">SKEW(Table1[tdp_watts])</f>
        <v>6.0149845187563606</v>
      </c>
      <c r="P95">
        <f>LN(1+Table1[[#This Row],[tdp_watts]])</f>
        <v>5.9939614273065693</v>
      </c>
      <c r="Q95" s="10">
        <f>(Table1[[#This Row],[fp16_tflops]]/Table1[[#This Row],[tdp_watts]])</f>
        <v>0.78</v>
      </c>
      <c r="R95">
        <f>SKEW(Table1[log(tdp_watts)])</f>
        <v>1.0730603511378074</v>
      </c>
      <c r="S95">
        <v>76814</v>
      </c>
      <c r="T95">
        <f>SKEW(Table1[estimated_shipments_units])</f>
        <v>5.1829756087773573</v>
      </c>
      <c r="U95">
        <f>LN(1+Table1[[#This Row],[estimated_shipments_units]])</f>
        <v>11.24915521256476</v>
      </c>
      <c r="V95">
        <f t="shared" si="6"/>
        <v>0.44700614632315594</v>
      </c>
      <c r="W95">
        <v>15000</v>
      </c>
      <c r="X95">
        <f>SKEW(Table1[estimated_asp_usd])</f>
        <v>6.1553602568167474</v>
      </c>
      <c r="Y95">
        <f>LN(1+Table1[[#This Row],[estimated_asp_usd]])</f>
        <v>9.6158721445288897</v>
      </c>
      <c r="Z95">
        <f>SKEW(Table1[log(estimated_asp_usd)])</f>
        <v>-2.8993473795412101</v>
      </c>
      <c r="AA95">
        <v>1152.2</v>
      </c>
      <c r="AB95">
        <f>SKEW(Table1[estimated_revenue_usd_m])</f>
        <v>5.8862244869270315</v>
      </c>
      <c r="AC95">
        <f>LN(1+Table1[[#This Row],[estimated_revenue_usd_m]])</f>
        <v>7.0502959657642474</v>
      </c>
      <c r="AD95">
        <f>SKEW(Table1[log(estimated_revenue_usd)])</f>
        <v>0.29428154884363278</v>
      </c>
      <c r="AE95" t="s">
        <v>17</v>
      </c>
      <c r="BD95" s="7">
        <v>40</v>
      </c>
      <c r="BE95" s="7">
        <v>312</v>
      </c>
      <c r="BF95" s="7">
        <v>400</v>
      </c>
      <c r="BG95" s="7">
        <v>32264</v>
      </c>
      <c r="BH95" s="7">
        <v>15000</v>
      </c>
      <c r="BI95" s="7">
        <v>484</v>
      </c>
    </row>
    <row r="96" spans="1:61" x14ac:dyDescent="0.35">
      <c r="A96">
        <v>2024</v>
      </c>
      <c r="B96" t="s">
        <v>16</v>
      </c>
      <c r="C96" t="s">
        <v>12</v>
      </c>
      <c r="D96" s="1" t="d">
        <v>2020-05-14</v>
      </c>
      <c r="E96" s="11">
        <f>Table1[[#This Row],[year]]-YEAR(Table1[[#This Row],[launch_date]])</f>
        <v>4</v>
      </c>
      <c r="F96">
        <v>40</v>
      </c>
      <c r="G96">
        <f>SKEW(Table1[memory_gb])</f>
        <v>4.4615286901097004</v>
      </c>
      <c r="H96">
        <f>LN(1+Table1[[#This Row],[memory_gb]])</f>
        <v>3.713572066704308</v>
      </c>
      <c r="I96">
        <f>SKEW(Table1[log(memory_gb)])</f>
        <v>-0.12349734745152563</v>
      </c>
      <c r="J96">
        <v>312</v>
      </c>
      <c r="K96" cm="1">
        <f t="array" ref="K96">SKEW(Table1[fp16_tflops])</f>
        <v>3.0570434318989719</v>
      </c>
      <c r="L96">
        <f>LN(1+Table1[[#This Row],[fp16_tflops]])</f>
        <v>5.7462031905401529</v>
      </c>
      <c r="M96">
        <f t="shared" si="5"/>
        <v>0.86168770962768293</v>
      </c>
      <c r="N96">
        <v>400</v>
      </c>
      <c r="O96" cm="1">
        <f t="array" ref="O96">SKEW(Table1[tdp_watts])</f>
        <v>6.0149845187563606</v>
      </c>
      <c r="P96">
        <f>LN(1+Table1[[#This Row],[tdp_watts]])</f>
        <v>5.9939614273065693</v>
      </c>
      <c r="Q96" s="10">
        <f>(Table1[[#This Row],[fp16_tflops]]/Table1[[#This Row],[tdp_watts]])</f>
        <v>0.78</v>
      </c>
      <c r="R96">
        <f>SKEW(Table1[log(tdp_watts)])</f>
        <v>1.0730603511378074</v>
      </c>
      <c r="S96">
        <v>28956</v>
      </c>
      <c r="T96">
        <f>SKEW(Table1[estimated_shipments_units])</f>
        <v>5.1829756087773573</v>
      </c>
      <c r="U96">
        <f>LN(1+Table1[[#This Row],[estimated_shipments_units]])</f>
        <v>10.273567249973496</v>
      </c>
      <c r="V96">
        <f t="shared" si="6"/>
        <v>0.35655666653191859</v>
      </c>
      <c r="W96">
        <v>15000</v>
      </c>
      <c r="X96">
        <f>SKEW(Table1[estimated_asp_usd])</f>
        <v>6.1553602568167474</v>
      </c>
      <c r="Y96">
        <f>LN(1+Table1[[#This Row],[estimated_asp_usd]])</f>
        <v>9.6158721445288897</v>
      </c>
      <c r="Z96">
        <f>SKEW(Table1[log(estimated_asp_usd)])</f>
        <v>-2.8993473795412101</v>
      </c>
      <c r="AA96">
        <v>434.3</v>
      </c>
      <c r="AB96">
        <f>SKEW(Table1[estimated_revenue_usd_m])</f>
        <v>5.8862244869270315</v>
      </c>
      <c r="AC96">
        <f>LN(1+Table1[[#This Row],[estimated_revenue_usd_m]])</f>
        <v>6.076035448558252</v>
      </c>
      <c r="AD96">
        <f>SKEW(Table1[log(estimated_revenue_usd)])</f>
        <v>0.29428154884363278</v>
      </c>
      <c r="AE96" t="s">
        <v>17</v>
      </c>
      <c r="BD96" s="6">
        <v>80</v>
      </c>
      <c r="BE96" s="6">
        <v>989</v>
      </c>
      <c r="BF96" s="6">
        <v>700</v>
      </c>
      <c r="BG96" s="6">
        <v>582977</v>
      </c>
      <c r="BH96" s="6">
        <v>30000</v>
      </c>
      <c r="BI96" s="6">
        <v>17489.3</v>
      </c>
    </row>
    <row r="97" spans="1:61" x14ac:dyDescent="0.35">
      <c r="A97">
        <v>2025</v>
      </c>
      <c r="B97" t="s">
        <v>16</v>
      </c>
      <c r="C97" t="s">
        <v>12</v>
      </c>
      <c r="D97" s="1" t="d">
        <v>2020-05-14</v>
      </c>
      <c r="E97" s="11">
        <f>Table1[[#This Row],[year]]-YEAR(Table1[[#This Row],[launch_date]])</f>
        <v>5</v>
      </c>
      <c r="F97">
        <v>40</v>
      </c>
      <c r="G97">
        <f>SKEW(Table1[memory_gb])</f>
        <v>4.4615286901097004</v>
      </c>
      <c r="H97">
        <f>LN(1+Table1[[#This Row],[memory_gb]])</f>
        <v>3.713572066704308</v>
      </c>
      <c r="I97">
        <f>SKEW(Table1[log(memory_gb)])</f>
        <v>-0.12349734745152563</v>
      </c>
      <c r="J97">
        <v>312</v>
      </c>
      <c r="K97" cm="1">
        <f t="array" ref="K97">SKEW(Table1[fp16_tflops])</f>
        <v>3.0570434318989719</v>
      </c>
      <c r="L97">
        <f>LN(1+Table1[[#This Row],[fp16_tflops]])</f>
        <v>5.7462031905401529</v>
      </c>
      <c r="M97">
        <f t="shared" si="5"/>
        <v>0.90576053765281761</v>
      </c>
      <c r="N97">
        <v>400</v>
      </c>
      <c r="O97" cm="1">
        <f t="array" ref="O97">SKEW(Table1[tdp_watts])</f>
        <v>6.0149845187563606</v>
      </c>
      <c r="P97">
        <f>LN(1+Table1[[#This Row],[tdp_watts]])</f>
        <v>5.9939614273065693</v>
      </c>
      <c r="Q97" s="10">
        <f>(Table1[[#This Row],[fp16_tflops]]/Table1[[#This Row],[tdp_watts]])</f>
        <v>0.78</v>
      </c>
      <c r="R97">
        <f>SKEW(Table1[log(tdp_watts)])</f>
        <v>1.0730603511378074</v>
      </c>
      <c r="S97">
        <v>26870</v>
      </c>
      <c r="T97">
        <f>SKEW(Table1[estimated_shipments_units])</f>
        <v>5.1829756087773573</v>
      </c>
      <c r="U97">
        <f>LN(1+Table1[[#This Row],[estimated_shipments_units]])</f>
        <v>10.198802917143304</v>
      </c>
      <c r="V97">
        <f t="shared" si="6"/>
        <v>0.35387446106301373</v>
      </c>
      <c r="W97">
        <v>15000</v>
      </c>
      <c r="X97">
        <f>SKEW(Table1[estimated_asp_usd])</f>
        <v>6.1553602568167474</v>
      </c>
      <c r="Y97">
        <f>LN(1+Table1[[#This Row],[estimated_asp_usd]])</f>
        <v>9.6158721445288897</v>
      </c>
      <c r="Z97">
        <f>SKEW(Table1[log(estimated_asp_usd)])</f>
        <v>-2.8993473795412101</v>
      </c>
      <c r="AA97">
        <v>403.1</v>
      </c>
      <c r="AB97">
        <f>SKEW(Table1[estimated_revenue_usd_m])</f>
        <v>5.8862244869270315</v>
      </c>
      <c r="AC97">
        <f>LN(1+Table1[[#This Row],[estimated_revenue_usd_m]])</f>
        <v>6.0016623720844278</v>
      </c>
      <c r="AD97">
        <f>SKEW(Table1[log(estimated_revenue_usd)])</f>
        <v>0.29428154884363278</v>
      </c>
      <c r="AE97" t="s">
        <v>17</v>
      </c>
      <c r="BD97" s="7">
        <v>80</v>
      </c>
      <c r="BE97" s="7">
        <v>989</v>
      </c>
      <c r="BF97" s="7">
        <v>700</v>
      </c>
      <c r="BG97" s="7">
        <v>2466989</v>
      </c>
      <c r="BH97" s="7">
        <v>30000</v>
      </c>
      <c r="BI97" s="7">
        <v>74009.7</v>
      </c>
    </row>
    <row r="98" spans="1:61" x14ac:dyDescent="0.35">
      <c r="A98">
        <v>2026</v>
      </c>
      <c r="B98" t="s">
        <v>16</v>
      </c>
      <c r="C98" t="s">
        <v>12</v>
      </c>
      <c r="D98" s="1" t="d">
        <v>2020-05-14</v>
      </c>
      <c r="E98" s="11">
        <f>Table1[[#This Row],[year]]-YEAR(Table1[[#This Row],[launch_date]])</f>
        <v>6</v>
      </c>
      <c r="F98">
        <v>40</v>
      </c>
      <c r="G98">
        <f>SKEW(Table1[memory_gb])</f>
        <v>4.4615286901097004</v>
      </c>
      <c r="H98">
        <f>LN(1+Table1[[#This Row],[memory_gb]])</f>
        <v>3.713572066704308</v>
      </c>
      <c r="I98">
        <f>SKEW(Table1[log(memory_gb)])</f>
        <v>-0.12349734745152563</v>
      </c>
      <c r="J98">
        <v>312</v>
      </c>
      <c r="K98" cm="1">
        <f t="array" ref="K98">SKEW(Table1[fp16_tflops])</f>
        <v>3.0570434318989719</v>
      </c>
      <c r="L98">
        <f>LN(1+Table1[[#This Row],[fp16_tflops]])</f>
        <v>5.7462031905401529</v>
      </c>
      <c r="M98">
        <f t="shared" ref="M98:M129" si="7">SKEW(L98:L217)</f>
        <v>0.95314868922210705</v>
      </c>
      <c r="N98">
        <v>400</v>
      </c>
      <c r="O98" cm="1">
        <f t="array" ref="O98">SKEW(Table1[tdp_watts])</f>
        <v>6.0149845187563606</v>
      </c>
      <c r="P98">
        <f>LN(1+Table1[[#This Row],[tdp_watts]])</f>
        <v>5.9939614273065693</v>
      </c>
      <c r="Q98" s="10">
        <f>(Table1[[#This Row],[fp16_tflops]]/Table1[[#This Row],[tdp_watts]])</f>
        <v>0.78</v>
      </c>
      <c r="R98">
        <f>SKEW(Table1[log(tdp_watts)])</f>
        <v>1.0730603511378074</v>
      </c>
      <c r="S98">
        <v>32264</v>
      </c>
      <c r="T98">
        <f>SKEW(Table1[estimated_shipments_units])</f>
        <v>5.1829756087773573</v>
      </c>
      <c r="U98">
        <f>LN(1+Table1[[#This Row],[estimated_shipments_units]])</f>
        <v>10.38173833036994</v>
      </c>
      <c r="V98">
        <f t="shared" ref="V98:V129" si="8">SKEW(U98:U217)</f>
        <v>0.28004574359631773</v>
      </c>
      <c r="W98">
        <v>15000</v>
      </c>
      <c r="X98">
        <f>SKEW(Table1[estimated_asp_usd])</f>
        <v>6.1553602568167474</v>
      </c>
      <c r="Y98">
        <f>LN(1+Table1[[#This Row],[estimated_asp_usd]])</f>
        <v>9.6158721445288897</v>
      </c>
      <c r="Z98">
        <f>SKEW(Table1[log(estimated_asp_usd)])</f>
        <v>-2.8993473795412101</v>
      </c>
      <c r="AA98">
        <v>484</v>
      </c>
      <c r="AB98">
        <f>SKEW(Table1[estimated_revenue_usd_m])</f>
        <v>5.8862244869270315</v>
      </c>
      <c r="AC98">
        <f>LN(1+Table1[[#This Row],[estimated_revenue_usd_m]])</f>
        <v>6.1841488909374833</v>
      </c>
      <c r="AD98">
        <f>SKEW(Table1[log(estimated_revenue_usd)])</f>
        <v>0.29428154884363278</v>
      </c>
      <c r="AE98" t="s">
        <v>17</v>
      </c>
      <c r="BD98" s="6">
        <v>80</v>
      </c>
      <c r="BE98" s="6">
        <v>989</v>
      </c>
      <c r="BF98" s="6">
        <v>700</v>
      </c>
      <c r="BG98" s="6">
        <v>1874943</v>
      </c>
      <c r="BH98" s="6">
        <v>30000</v>
      </c>
      <c r="BI98" s="6">
        <v>56248.3</v>
      </c>
    </row>
    <row r="99" spans="1:61" x14ac:dyDescent="0.35">
      <c r="A99">
        <v>2021</v>
      </c>
      <c r="B99" t="s">
        <v>25</v>
      </c>
      <c r="C99" t="s">
        <v>46</v>
      </c>
      <c r="D99" s="1" t="d">
        <v>2021-11-08</v>
      </c>
      <c r="E99" s="11">
        <f>Table1[[#This Row],[year]]-YEAR(Table1[[#This Row],[launch_date]])</f>
        <v>0</v>
      </c>
      <c r="F99">
        <v>128</v>
      </c>
      <c r="G99">
        <f>SKEW(Table1[memory_gb])</f>
        <v>4.4615286901097004</v>
      </c>
      <c r="H99">
        <f>LN(1+Table1[[#This Row],[memory_gb]])</f>
        <v>4.8598124043616719</v>
      </c>
      <c r="I99">
        <f>SKEW(Table1[log(memory_gb)])</f>
        <v>-0.12349734745152563</v>
      </c>
      <c r="J99">
        <v>383</v>
      </c>
      <c r="K99" cm="1">
        <f t="array" ref="K99">SKEW(Table1[fp16_tflops])</f>
        <v>3.0570434318989719</v>
      </c>
      <c r="L99">
        <f>LN(1+Table1[[#This Row],[fp16_tflops]])</f>
        <v>5.9506425525877269</v>
      </c>
      <c r="M99">
        <f t="shared" si="7"/>
        <v>1.0043350154416382</v>
      </c>
      <c r="N99">
        <v>500</v>
      </c>
      <c r="O99" cm="1">
        <f t="array" ref="O99">SKEW(Table1[tdp_watts])</f>
        <v>6.0149845187563606</v>
      </c>
      <c r="P99">
        <f>LN(1+Table1[[#This Row],[tdp_watts]])</f>
        <v>6.2166061010848646</v>
      </c>
      <c r="Q99" s="10">
        <f>(Table1[[#This Row],[fp16_tflops]]/Table1[[#This Row],[tdp_watts]])</f>
        <v>0.76600000000000001</v>
      </c>
      <c r="R99">
        <f>SKEW(Table1[log(tdp_watts)])</f>
        <v>1.0730603511378074</v>
      </c>
      <c r="S99">
        <v>23</v>
      </c>
      <c r="T99">
        <f>SKEW(Table1[estimated_shipments_units])</f>
        <v>5.1829756087773573</v>
      </c>
      <c r="U99">
        <f>LN(1+Table1[[#This Row],[estimated_shipments_units]])</f>
        <v>3.1780538303479458</v>
      </c>
      <c r="V99">
        <f t="shared" si="8"/>
        <v>-0.14294460914986962</v>
      </c>
      <c r="W99">
        <v>15000</v>
      </c>
      <c r="X99">
        <f>SKEW(Table1[estimated_asp_usd])</f>
        <v>6.1553602568167474</v>
      </c>
      <c r="Y99">
        <f>LN(1+Table1[[#This Row],[estimated_asp_usd]])</f>
        <v>9.6158721445288897</v>
      </c>
      <c r="Z99">
        <f>SKEW(Table1[log(estimated_asp_usd)])</f>
        <v>-2.8993473795412101</v>
      </c>
      <c r="AA99">
        <v>0.3</v>
      </c>
      <c r="AB99">
        <f>SKEW(Table1[estimated_revenue_usd_m])</f>
        <v>5.8862244869270315</v>
      </c>
      <c r="AC99">
        <f>LN(1+Table1[[#This Row],[estimated_revenue_usd_m]])</f>
        <v>0.26236426446749106</v>
      </c>
      <c r="AD99">
        <f>SKEW(Table1[log(estimated_revenue_usd)])</f>
        <v>0.29428154884363278</v>
      </c>
      <c r="AE99" t="s">
        <v>47</v>
      </c>
      <c r="BD99" s="7">
        <v>80</v>
      </c>
      <c r="BE99" s="7">
        <v>989</v>
      </c>
      <c r="BF99" s="7">
        <v>700</v>
      </c>
      <c r="BG99" s="7">
        <v>1126912</v>
      </c>
      <c r="BH99" s="7">
        <v>30000</v>
      </c>
      <c r="BI99" s="7">
        <v>33807.4</v>
      </c>
    </row>
    <row r="100" spans="1:61" x14ac:dyDescent="0.35">
      <c r="A100">
        <v>2022</v>
      </c>
      <c r="B100" t="s">
        <v>25</v>
      </c>
      <c r="C100" t="s">
        <v>46</v>
      </c>
      <c r="D100" s="1" t="d">
        <v>2021-11-08</v>
      </c>
      <c r="E100" s="11">
        <f>Table1[[#This Row],[year]]-YEAR(Table1[[#This Row],[launch_date]])</f>
        <v>1</v>
      </c>
      <c r="F100">
        <v>128</v>
      </c>
      <c r="G100">
        <f>SKEW(Table1[memory_gb])</f>
        <v>4.4615286901097004</v>
      </c>
      <c r="H100">
        <f>LN(1+Table1[[#This Row],[memory_gb]])</f>
        <v>4.8598124043616719</v>
      </c>
      <c r="I100">
        <f>SKEW(Table1[log(memory_gb)])</f>
        <v>-0.12349734745152563</v>
      </c>
      <c r="J100">
        <v>383</v>
      </c>
      <c r="K100" cm="1">
        <f t="array" ref="K100">SKEW(Table1[fp16_tflops])</f>
        <v>3.0570434318989719</v>
      </c>
      <c r="L100">
        <f>LN(1+Table1[[#This Row],[fp16_tflops]])</f>
        <v>5.9506425525877269</v>
      </c>
      <c r="M100">
        <f t="shared" si="7"/>
        <v>1.1020233615190085</v>
      </c>
      <c r="N100">
        <v>500</v>
      </c>
      <c r="O100" cm="1">
        <f t="array" ref="O100">SKEW(Table1[tdp_watts])</f>
        <v>6.0149845187563606</v>
      </c>
      <c r="P100">
        <f>LN(1+Table1[[#This Row],[tdp_watts]])</f>
        <v>6.2166061010848646</v>
      </c>
      <c r="Q100" s="10">
        <f>(Table1[[#This Row],[fp16_tflops]]/Table1[[#This Row],[tdp_watts]])</f>
        <v>0.76600000000000001</v>
      </c>
      <c r="R100">
        <f>SKEW(Table1[log(tdp_watts)])</f>
        <v>1.0730603511378074</v>
      </c>
      <c r="S100">
        <v>1030</v>
      </c>
      <c r="T100">
        <f>SKEW(Table1[estimated_shipments_units])</f>
        <v>5.1829756087773573</v>
      </c>
      <c r="U100">
        <f>LN(1+Table1[[#This Row],[estimated_shipments_units]])</f>
        <v>6.9382844840169602</v>
      </c>
      <c r="V100">
        <f t="shared" si="8"/>
        <v>0.16404218209509613</v>
      </c>
      <c r="W100">
        <v>15000</v>
      </c>
      <c r="X100">
        <f>SKEW(Table1[estimated_asp_usd])</f>
        <v>6.1553602568167474</v>
      </c>
      <c r="Y100">
        <f>LN(1+Table1[[#This Row],[estimated_asp_usd]])</f>
        <v>9.6158721445288897</v>
      </c>
      <c r="Z100">
        <f>SKEW(Table1[log(estimated_asp_usd)])</f>
        <v>-2.8993473795412101</v>
      </c>
      <c r="AA100">
        <v>15.4</v>
      </c>
      <c r="AB100">
        <f>SKEW(Table1[estimated_revenue_usd_m])</f>
        <v>5.8862244869270315</v>
      </c>
      <c r="AC100">
        <f>LN(1+Table1[[#This Row],[estimated_revenue_usd_m]])</f>
        <v>2.7972813348301528</v>
      </c>
      <c r="AD100">
        <f>SKEW(Table1[log(estimated_revenue_usd)])</f>
        <v>0.29428154884363278</v>
      </c>
      <c r="AE100" t="s">
        <v>47</v>
      </c>
      <c r="BD100" s="6">
        <v>141</v>
      </c>
      <c r="BE100" s="6">
        <v>989</v>
      </c>
      <c r="BF100" s="6">
        <v>700</v>
      </c>
      <c r="BG100" s="6">
        <v>115829</v>
      </c>
      <c r="BH100" s="6">
        <v>32000</v>
      </c>
      <c r="BI100" s="6">
        <v>3706.5</v>
      </c>
    </row>
    <row r="101" spans="1:61" x14ac:dyDescent="0.35">
      <c r="A101">
        <v>2023</v>
      </c>
      <c r="B101" t="s">
        <v>25</v>
      </c>
      <c r="C101" t="s">
        <v>46</v>
      </c>
      <c r="D101" s="1" t="d">
        <v>2021-11-08</v>
      </c>
      <c r="E101" s="11">
        <f>Table1[[#This Row],[year]]-YEAR(Table1[[#This Row],[launch_date]])</f>
        <v>2</v>
      </c>
      <c r="F101">
        <v>128</v>
      </c>
      <c r="G101">
        <f>SKEW(Table1[memory_gb])</f>
        <v>4.4615286901097004</v>
      </c>
      <c r="H101">
        <f>LN(1+Table1[[#This Row],[memory_gb]])</f>
        <v>4.8598124043616719</v>
      </c>
      <c r="I101">
        <f>SKEW(Table1[log(memory_gb)])</f>
        <v>-0.12349734745152563</v>
      </c>
      <c r="J101">
        <v>383</v>
      </c>
      <c r="K101" cm="1">
        <f t="array" ref="K101">SKEW(Table1[fp16_tflops])</f>
        <v>3.0570434318989719</v>
      </c>
      <c r="L101">
        <f>LN(1+Table1[[#This Row],[fp16_tflops]])</f>
        <v>5.9506425525877269</v>
      </c>
      <c r="M101">
        <f t="shared" si="7"/>
        <v>1.2108012001870894</v>
      </c>
      <c r="N101">
        <v>500</v>
      </c>
      <c r="O101" cm="1">
        <f t="array" ref="O101">SKEW(Table1[tdp_watts])</f>
        <v>6.0149845187563606</v>
      </c>
      <c r="P101">
        <f>LN(1+Table1[[#This Row],[tdp_watts]])</f>
        <v>6.2166061010848646</v>
      </c>
      <c r="Q101" s="10">
        <f>(Table1[[#This Row],[fp16_tflops]]/Table1[[#This Row],[tdp_watts]])</f>
        <v>0.76600000000000001</v>
      </c>
      <c r="R101">
        <f>SKEW(Table1[log(tdp_watts)])</f>
        <v>1.0730603511378074</v>
      </c>
      <c r="S101">
        <v>713</v>
      </c>
      <c r="T101">
        <f>SKEW(Table1[estimated_shipments_units])</f>
        <v>5.1829756087773573</v>
      </c>
      <c r="U101">
        <f>LN(1+Table1[[#This Row],[estimated_shipments_units]])</f>
        <v>6.5708829623395841</v>
      </c>
      <c r="V101">
        <f t="shared" si="8"/>
        <v>0.21499135497396984</v>
      </c>
      <c r="W101">
        <v>15000</v>
      </c>
      <c r="X101">
        <f>SKEW(Table1[estimated_asp_usd])</f>
        <v>6.1553602568167474</v>
      </c>
      <c r="Y101">
        <f>LN(1+Table1[[#This Row],[estimated_asp_usd]])</f>
        <v>9.6158721445288897</v>
      </c>
      <c r="Z101">
        <f>SKEW(Table1[log(estimated_asp_usd)])</f>
        <v>-2.8993473795412101</v>
      </c>
      <c r="AA101">
        <v>10.7</v>
      </c>
      <c r="AB101">
        <f>SKEW(Table1[estimated_revenue_usd_m])</f>
        <v>5.8862244869270315</v>
      </c>
      <c r="AC101">
        <f>LN(1+Table1[[#This Row],[estimated_revenue_usd_m]])</f>
        <v>2.4595888418037104</v>
      </c>
      <c r="AD101">
        <f>SKEW(Table1[log(estimated_revenue_usd)])</f>
        <v>0.29428154884363278</v>
      </c>
      <c r="AE101" t="s">
        <v>47</v>
      </c>
      <c r="BD101" s="7">
        <v>141</v>
      </c>
      <c r="BE101" s="7">
        <v>989</v>
      </c>
      <c r="BF101" s="7">
        <v>700</v>
      </c>
      <c r="BG101" s="7">
        <v>573022</v>
      </c>
      <c r="BH101" s="7">
        <v>32000</v>
      </c>
      <c r="BI101" s="7">
        <v>18336.7</v>
      </c>
    </row>
    <row r="102" spans="1:61" x14ac:dyDescent="0.35">
      <c r="A102">
        <v>2024</v>
      </c>
      <c r="B102" t="s">
        <v>25</v>
      </c>
      <c r="C102" t="s">
        <v>46</v>
      </c>
      <c r="D102" s="1" t="d">
        <v>2021-11-08</v>
      </c>
      <c r="E102" s="11">
        <f>Table1[[#This Row],[year]]-YEAR(Table1[[#This Row],[launch_date]])</f>
        <v>3</v>
      </c>
      <c r="F102">
        <v>128</v>
      </c>
      <c r="G102">
        <f>SKEW(Table1[memory_gb])</f>
        <v>4.4615286901097004</v>
      </c>
      <c r="H102">
        <f>LN(1+Table1[[#This Row],[memory_gb]])</f>
        <v>4.8598124043616719</v>
      </c>
      <c r="I102">
        <f>SKEW(Table1[log(memory_gb)])</f>
        <v>-0.12349734745152563</v>
      </c>
      <c r="J102">
        <v>383</v>
      </c>
      <c r="K102" cm="1">
        <f t="array" ref="K102">SKEW(Table1[fp16_tflops])</f>
        <v>3.0570434318989719</v>
      </c>
      <c r="L102">
        <f>LN(1+Table1[[#This Row],[fp16_tflops]])</f>
        <v>5.9506425525877269</v>
      </c>
      <c r="M102">
        <f t="shared" si="7"/>
        <v>1.3331758309887509</v>
      </c>
      <c r="N102">
        <v>500</v>
      </c>
      <c r="O102" cm="1">
        <f t="array" ref="O102">SKEW(Table1[tdp_watts])</f>
        <v>6.0149845187563606</v>
      </c>
      <c r="P102">
        <f>LN(1+Table1[[#This Row],[tdp_watts]])</f>
        <v>6.2166061010848646</v>
      </c>
      <c r="Q102" s="10">
        <f>(Table1[[#This Row],[fp16_tflops]]/Table1[[#This Row],[tdp_watts]])</f>
        <v>0.76600000000000001</v>
      </c>
      <c r="R102">
        <f>SKEW(Table1[log(tdp_watts)])</f>
        <v>1.0730603511378074</v>
      </c>
      <c r="S102">
        <v>354</v>
      </c>
      <c r="T102">
        <f>SKEW(Table1[estimated_shipments_units])</f>
        <v>5.1829756087773573</v>
      </c>
      <c r="U102">
        <f>LN(1+Table1[[#This Row],[estimated_shipments_units]])</f>
        <v>5.872117789475416</v>
      </c>
      <c r="V102">
        <f t="shared" si="8"/>
        <v>0.22530146151907421</v>
      </c>
      <c r="W102">
        <v>15000</v>
      </c>
      <c r="X102">
        <f>SKEW(Table1[estimated_asp_usd])</f>
        <v>6.1553602568167474</v>
      </c>
      <c r="Y102">
        <f>LN(1+Table1[[#This Row],[estimated_asp_usd]])</f>
        <v>9.6158721445288897</v>
      </c>
      <c r="Z102">
        <f>SKEW(Table1[log(estimated_asp_usd)])</f>
        <v>-2.8993473795412101</v>
      </c>
      <c r="AA102">
        <v>5.3</v>
      </c>
      <c r="AB102">
        <f>SKEW(Table1[estimated_revenue_usd_m])</f>
        <v>5.8862244869270315</v>
      </c>
      <c r="AC102">
        <f>LN(1+Table1[[#This Row],[estimated_revenue_usd_m]])</f>
        <v>1.8405496333974869</v>
      </c>
      <c r="AD102">
        <f>SKEW(Table1[log(estimated_revenue_usd)])</f>
        <v>0.29428154884363278</v>
      </c>
      <c r="AE102" t="s">
        <v>47</v>
      </c>
      <c r="BD102" s="6">
        <v>141</v>
      </c>
      <c r="BE102" s="6">
        <v>989</v>
      </c>
      <c r="BF102" s="6">
        <v>700</v>
      </c>
      <c r="BG102" s="6">
        <v>487597</v>
      </c>
      <c r="BH102" s="6">
        <v>32000</v>
      </c>
      <c r="BI102" s="6">
        <v>15603.1</v>
      </c>
    </row>
    <row r="103" spans="1:61" x14ac:dyDescent="0.35">
      <c r="A103">
        <v>2025</v>
      </c>
      <c r="B103" t="s">
        <v>25</v>
      </c>
      <c r="C103" t="s">
        <v>46</v>
      </c>
      <c r="D103" s="1" t="d">
        <v>2021-11-08</v>
      </c>
      <c r="E103" s="11">
        <f>Table1[[#This Row],[year]]-YEAR(Table1[[#This Row],[launch_date]])</f>
        <v>4</v>
      </c>
      <c r="F103">
        <v>128</v>
      </c>
      <c r="G103">
        <f>SKEW(Table1[memory_gb])</f>
        <v>4.4615286901097004</v>
      </c>
      <c r="H103">
        <f>LN(1+Table1[[#This Row],[memory_gb]])</f>
        <v>4.8598124043616719</v>
      </c>
      <c r="I103">
        <f>SKEW(Table1[log(memory_gb)])</f>
        <v>-0.12349734745152563</v>
      </c>
      <c r="J103">
        <v>383</v>
      </c>
      <c r="K103" cm="1">
        <f t="array" ref="K103">SKEW(Table1[fp16_tflops])</f>
        <v>3.0570434318989719</v>
      </c>
      <c r="L103">
        <f>LN(1+Table1[[#This Row],[fp16_tflops]])</f>
        <v>5.9506425525877269</v>
      </c>
      <c r="M103">
        <f t="shared" si="7"/>
        <v>1.4725128321503154</v>
      </c>
      <c r="N103">
        <v>500</v>
      </c>
      <c r="O103" cm="1">
        <f t="array" ref="O103">SKEW(Table1[tdp_watts])</f>
        <v>6.0149845187563606</v>
      </c>
      <c r="P103">
        <f>LN(1+Table1[[#This Row],[tdp_watts]])</f>
        <v>6.2166061010848646</v>
      </c>
      <c r="Q103" s="10">
        <f>(Table1[[#This Row],[fp16_tflops]]/Table1[[#This Row],[tdp_watts]])</f>
        <v>0.76600000000000001</v>
      </c>
      <c r="R103">
        <f>SKEW(Table1[log(tdp_watts)])</f>
        <v>1.0730603511378074</v>
      </c>
      <c r="S103">
        <v>122</v>
      </c>
      <c r="T103">
        <f>SKEW(Table1[estimated_shipments_units])</f>
        <v>5.1829756087773573</v>
      </c>
      <c r="U103">
        <f>LN(1+Table1[[#This Row],[estimated_shipments_units]])</f>
        <v>4.8121843553724171</v>
      </c>
      <c r="V103">
        <f t="shared" si="8"/>
        <v>0.15590997331015574</v>
      </c>
      <c r="W103">
        <v>15000</v>
      </c>
      <c r="X103">
        <f>SKEW(Table1[estimated_asp_usd])</f>
        <v>6.1553602568167474</v>
      </c>
      <c r="Y103">
        <f>LN(1+Table1[[#This Row],[estimated_asp_usd]])</f>
        <v>9.6158721445288897</v>
      </c>
      <c r="Z103">
        <f>SKEW(Table1[log(estimated_asp_usd)])</f>
        <v>-2.8993473795412101</v>
      </c>
      <c r="AA103">
        <v>1.8</v>
      </c>
      <c r="AB103">
        <f>SKEW(Table1[estimated_revenue_usd_m])</f>
        <v>5.8862244869270315</v>
      </c>
      <c r="AC103">
        <f>LN(1+Table1[[#This Row],[estimated_revenue_usd_m]])</f>
        <v>1.0296194171811581</v>
      </c>
      <c r="AD103">
        <f>SKEW(Table1[log(estimated_revenue_usd)])</f>
        <v>0.29428154884363278</v>
      </c>
      <c r="AE103" t="s">
        <v>47</v>
      </c>
      <c r="BD103" s="7">
        <v>48</v>
      </c>
      <c r="BE103" s="7">
        <v>362</v>
      </c>
      <c r="BF103" s="7">
        <v>350</v>
      </c>
      <c r="BG103" s="7">
        <v>51592</v>
      </c>
      <c r="BH103" s="7">
        <v>15000</v>
      </c>
      <c r="BI103" s="7">
        <v>773.9</v>
      </c>
    </row>
    <row r="104" spans="1:61" x14ac:dyDescent="0.35">
      <c r="A104">
        <v>2026</v>
      </c>
      <c r="B104" t="s">
        <v>25</v>
      </c>
      <c r="C104" t="s">
        <v>46</v>
      </c>
      <c r="D104" s="1" t="d">
        <v>2021-11-08</v>
      </c>
      <c r="E104" s="11">
        <f>Table1[[#This Row],[year]]-YEAR(Table1[[#This Row],[launch_date]])</f>
        <v>5</v>
      </c>
      <c r="F104">
        <v>128</v>
      </c>
      <c r="G104">
        <f>SKEW(Table1[memory_gb])</f>
        <v>4.4615286901097004</v>
      </c>
      <c r="H104">
        <f>LN(1+Table1[[#This Row],[memory_gb]])</f>
        <v>4.8598124043616719</v>
      </c>
      <c r="I104">
        <f>SKEW(Table1[log(memory_gb)])</f>
        <v>-0.12349734745152563</v>
      </c>
      <c r="J104">
        <v>383</v>
      </c>
      <c r="K104" cm="1">
        <f t="array" ref="K104">SKEW(Table1[fp16_tflops])</f>
        <v>3.0570434318989719</v>
      </c>
      <c r="L104">
        <f>LN(1+Table1[[#This Row],[fp16_tflops]])</f>
        <v>5.9506425525877269</v>
      </c>
      <c r="M104">
        <f t="shared" si="7"/>
        <v>1.6334452338607686</v>
      </c>
      <c r="N104">
        <v>500</v>
      </c>
      <c r="O104" cm="1">
        <f t="array" ref="O104">SKEW(Table1[tdp_watts])</f>
        <v>6.0149845187563606</v>
      </c>
      <c r="P104">
        <f>LN(1+Table1[[#This Row],[tdp_watts]])</f>
        <v>6.2166061010848646</v>
      </c>
      <c r="Q104" s="10">
        <f>(Table1[[#This Row],[fp16_tflops]]/Table1[[#This Row],[tdp_watts]])</f>
        <v>0.76600000000000001</v>
      </c>
      <c r="R104">
        <f>SKEW(Table1[log(tdp_watts)])</f>
        <v>1.0730603511378074</v>
      </c>
      <c r="S104">
        <v>159</v>
      </c>
      <c r="T104">
        <f>SKEW(Table1[estimated_shipments_units])</f>
        <v>5.1829756087773573</v>
      </c>
      <c r="U104">
        <f>LN(1+Table1[[#This Row],[estimated_shipments_units]])</f>
        <v>5.0751738152338266</v>
      </c>
      <c r="V104">
        <f t="shared" si="8"/>
        <v>6.2928688129350652E-2</v>
      </c>
      <c r="W104">
        <v>15000</v>
      </c>
      <c r="X104">
        <f>SKEW(Table1[estimated_asp_usd])</f>
        <v>6.1553602568167474</v>
      </c>
      <c r="Y104">
        <f>LN(1+Table1[[#This Row],[estimated_asp_usd]])</f>
        <v>9.6158721445288897</v>
      </c>
      <c r="Z104">
        <f>SKEW(Table1[log(estimated_asp_usd)])</f>
        <v>-2.8993473795412101</v>
      </c>
      <c r="AA104">
        <v>2.4</v>
      </c>
      <c r="AB104">
        <f>SKEW(Table1[estimated_revenue_usd_m])</f>
        <v>5.8862244869270315</v>
      </c>
      <c r="AC104">
        <f>LN(1+Table1[[#This Row],[estimated_revenue_usd_m]])</f>
        <v>1.2237754316221157</v>
      </c>
      <c r="AD104">
        <f>SKEW(Table1[log(estimated_revenue_usd)])</f>
        <v>0.29428154884363278</v>
      </c>
      <c r="AE104" t="s">
        <v>47</v>
      </c>
      <c r="BD104" s="6">
        <v>48</v>
      </c>
      <c r="BE104" s="6">
        <v>362</v>
      </c>
      <c r="BF104" s="6">
        <v>350</v>
      </c>
      <c r="BG104" s="6">
        <v>327147</v>
      </c>
      <c r="BH104" s="6">
        <v>15000</v>
      </c>
      <c r="BI104" s="6">
        <v>4907.2</v>
      </c>
    </row>
    <row r="105" spans="1:61" x14ac:dyDescent="0.35">
      <c r="A105">
        <v>2020</v>
      </c>
      <c r="B105" t="s">
        <v>31</v>
      </c>
      <c r="C105" t="s">
        <v>57</v>
      </c>
      <c r="D105" s="1" t="d">
        <v>2018-05-08</v>
      </c>
      <c r="E105" s="11">
        <f>Table1[[#This Row],[year]]-YEAR(Table1[[#This Row],[launch_date]])</f>
        <v>2</v>
      </c>
      <c r="F105">
        <v>32</v>
      </c>
      <c r="G105">
        <f>SKEW(Table1[memory_gb])</f>
        <v>4.4615286901097004</v>
      </c>
      <c r="H105">
        <f>LN(1+Table1[[#This Row],[memory_gb]])</f>
        <v>3.4965075614664802</v>
      </c>
      <c r="I105">
        <f>SKEW(Table1[log(memory_gb)])</f>
        <v>-0.12349734745152563</v>
      </c>
      <c r="J105">
        <v>123</v>
      </c>
      <c r="K105" cm="1">
        <f t="array" ref="K105">SKEW(Table1[fp16_tflops])</f>
        <v>3.0570434318989719</v>
      </c>
      <c r="L105">
        <f>LN(1+Table1[[#This Row],[fp16_tflops]])</f>
        <v>4.8202815656050371</v>
      </c>
      <c r="M105">
        <f t="shared" si="7"/>
        <v>1.8225436564586897</v>
      </c>
      <c r="N105">
        <v>220</v>
      </c>
      <c r="O105" cm="1">
        <f t="array" ref="O105">SKEW(Table1[tdp_watts])</f>
        <v>6.0149845187563606</v>
      </c>
      <c r="P105">
        <f>LN(1+Table1[[#This Row],[tdp_watts]])</f>
        <v>5.3981627015177525</v>
      </c>
      <c r="Q105" s="10">
        <f>(Table1[[#This Row],[fp16_tflops]]/Table1[[#This Row],[tdp_watts]])</f>
        <v>0.55909090909090908</v>
      </c>
      <c r="R105">
        <f>SKEW(Table1[log(tdp_watts)])</f>
        <v>1.0730603511378074</v>
      </c>
      <c r="S105">
        <v>747</v>
      </c>
      <c r="T105">
        <f>SKEW(Table1[estimated_shipments_units])</f>
        <v>5.1829756087773573</v>
      </c>
      <c r="U105">
        <f>LN(1+Table1[[#This Row],[estimated_shipments_units]])</f>
        <v>6.6174029779744776</v>
      </c>
      <c r="V105">
        <f t="shared" si="8"/>
        <v>-5.7795846763656802E-2</v>
      </c>
      <c r="W105">
        <v>15000</v>
      </c>
      <c r="X105">
        <f>SKEW(Table1[estimated_asp_usd])</f>
        <v>6.1553602568167474</v>
      </c>
      <c r="Y105">
        <f>LN(1+Table1[[#This Row],[estimated_asp_usd]])</f>
        <v>9.6158721445288897</v>
      </c>
      <c r="Z105">
        <f>SKEW(Table1[log(estimated_asp_usd)])</f>
        <v>-2.8993473795412101</v>
      </c>
      <c r="AA105">
        <v>11.2</v>
      </c>
      <c r="AB105">
        <f>SKEW(Table1[estimated_revenue_usd_m])</f>
        <v>5.8862244869270315</v>
      </c>
      <c r="AC105">
        <f>LN(1+Table1[[#This Row],[estimated_revenue_usd_m]])</f>
        <v>2.5014359517392109</v>
      </c>
      <c r="AD105">
        <f>SKEW(Table1[log(estimated_revenue_usd)])</f>
        <v>0.29428154884363278</v>
      </c>
      <c r="AE105" t="s">
        <v>58</v>
      </c>
      <c r="BD105" s="7">
        <v>48</v>
      </c>
      <c r="BE105" s="7">
        <v>362</v>
      </c>
      <c r="BF105" s="7">
        <v>350</v>
      </c>
      <c r="BG105" s="7">
        <v>359171</v>
      </c>
      <c r="BH105" s="7">
        <v>15000</v>
      </c>
      <c r="BI105" s="7">
        <v>5387.6</v>
      </c>
    </row>
    <row r="106" spans="1:61" x14ac:dyDescent="0.35">
      <c r="A106">
        <v>2021</v>
      </c>
      <c r="B106" t="s">
        <v>31</v>
      </c>
      <c r="C106" t="s">
        <v>57</v>
      </c>
      <c r="D106" s="1" t="d">
        <v>2018-05-08</v>
      </c>
      <c r="E106" s="11">
        <f>Table1[[#This Row],[year]]-YEAR(Table1[[#This Row],[launch_date]])</f>
        <v>3</v>
      </c>
      <c r="F106">
        <v>32</v>
      </c>
      <c r="G106">
        <f>SKEW(Table1[memory_gb])</f>
        <v>4.4615286901097004</v>
      </c>
      <c r="H106">
        <f>LN(1+Table1[[#This Row],[memory_gb]])</f>
        <v>3.4965075614664802</v>
      </c>
      <c r="I106">
        <f>SKEW(Table1[log(memory_gb)])</f>
        <v>-0.12349734745152563</v>
      </c>
      <c r="J106">
        <v>123</v>
      </c>
      <c r="K106" cm="1">
        <f t="array" ref="K106">SKEW(Table1[fp16_tflops])</f>
        <v>3.0570434318989719</v>
      </c>
      <c r="L106">
        <f>LN(1+Table1[[#This Row],[fp16_tflops]])</f>
        <v>4.8202815656050371</v>
      </c>
      <c r="M106">
        <f t="shared" si="7"/>
        <v>1.7321609131961322</v>
      </c>
      <c r="N106">
        <v>220</v>
      </c>
      <c r="O106" cm="1">
        <f t="array" ref="O106">SKEW(Table1[tdp_watts])</f>
        <v>6.0149845187563606</v>
      </c>
      <c r="P106">
        <f>LN(1+Table1[[#This Row],[tdp_watts]])</f>
        <v>5.3981627015177525</v>
      </c>
      <c r="Q106" s="10">
        <f>(Table1[[#This Row],[fp16_tflops]]/Table1[[#This Row],[tdp_watts]])</f>
        <v>0.55909090909090908</v>
      </c>
      <c r="R106">
        <f>SKEW(Table1[log(tdp_watts)])</f>
        <v>1.0730603511378074</v>
      </c>
      <c r="S106">
        <v>361</v>
      </c>
      <c r="T106">
        <f>SKEW(Table1[estimated_shipments_units])</f>
        <v>5.1829756087773573</v>
      </c>
      <c r="U106">
        <f>LN(1+Table1[[#This Row],[estimated_shipments_units]])</f>
        <v>5.8916442118257715</v>
      </c>
      <c r="V106">
        <f t="shared" si="8"/>
        <v>-6.2206551255028997E-2</v>
      </c>
      <c r="W106">
        <v>15000</v>
      </c>
      <c r="X106">
        <f>SKEW(Table1[estimated_asp_usd])</f>
        <v>6.1553602568167474</v>
      </c>
      <c r="Y106">
        <f>LN(1+Table1[[#This Row],[estimated_asp_usd]])</f>
        <v>9.6158721445288897</v>
      </c>
      <c r="Z106">
        <f>SKEW(Table1[log(estimated_asp_usd)])</f>
        <v>-2.8993473795412101</v>
      </c>
      <c r="AA106">
        <v>5.4</v>
      </c>
      <c r="AB106">
        <f>SKEW(Table1[estimated_revenue_usd_m])</f>
        <v>5.8862244869270315</v>
      </c>
      <c r="AC106">
        <f>LN(1+Table1[[#This Row],[estimated_revenue_usd_m]])</f>
        <v>1.8562979903656263</v>
      </c>
      <c r="AD106">
        <f>SKEW(Table1[log(estimated_revenue_usd)])</f>
        <v>0.29428154884363278</v>
      </c>
      <c r="AE106" t="s">
        <v>58</v>
      </c>
      <c r="BD106" s="6">
        <v>48</v>
      </c>
      <c r="BE106" s="6">
        <v>362</v>
      </c>
      <c r="BF106" s="6">
        <v>350</v>
      </c>
      <c r="BG106" s="6">
        <v>120445</v>
      </c>
      <c r="BH106" s="6">
        <v>15000</v>
      </c>
      <c r="BI106" s="6">
        <v>1806.7</v>
      </c>
    </row>
    <row r="107" spans="1:61" x14ac:dyDescent="0.35">
      <c r="A107">
        <v>2022</v>
      </c>
      <c r="B107" t="s">
        <v>31</v>
      </c>
      <c r="C107" t="s">
        <v>57</v>
      </c>
      <c r="D107" s="1" t="d">
        <v>2018-05-08</v>
      </c>
      <c r="E107" s="11">
        <f>Table1[[#This Row],[year]]-YEAR(Table1[[#This Row],[launch_date]])</f>
        <v>4</v>
      </c>
      <c r="F107">
        <v>32</v>
      </c>
      <c r="G107">
        <f>SKEW(Table1[memory_gb])</f>
        <v>4.4615286901097004</v>
      </c>
      <c r="H107">
        <f>LN(1+Table1[[#This Row],[memory_gb]])</f>
        <v>3.4965075614664802</v>
      </c>
      <c r="I107">
        <f>SKEW(Table1[log(memory_gb)])</f>
        <v>-0.12349734745152563</v>
      </c>
      <c r="J107">
        <v>123</v>
      </c>
      <c r="K107" cm="1">
        <f t="array" ref="K107">SKEW(Table1[fp16_tflops])</f>
        <v>3.0570434318989719</v>
      </c>
      <c r="L107">
        <f>LN(1+Table1[[#This Row],[fp16_tflops]])</f>
        <v>4.8202815656050371</v>
      </c>
      <c r="M107">
        <f t="shared" si="7"/>
        <v>1.6366559457483008</v>
      </c>
      <c r="N107">
        <v>220</v>
      </c>
      <c r="O107" cm="1">
        <f t="array" ref="O107">SKEW(Table1[tdp_watts])</f>
        <v>6.0149845187563606</v>
      </c>
      <c r="P107">
        <f>LN(1+Table1[[#This Row],[tdp_watts]])</f>
        <v>5.3981627015177525</v>
      </c>
      <c r="Q107" s="10">
        <f>(Table1[[#This Row],[fp16_tflops]]/Table1[[#This Row],[tdp_watts]])</f>
        <v>0.55909090909090908</v>
      </c>
      <c r="R107">
        <f>SKEW(Table1[log(tdp_watts)])</f>
        <v>1.0730603511378074</v>
      </c>
      <c r="S107">
        <v>160</v>
      </c>
      <c r="T107">
        <f>SKEW(Table1[estimated_shipments_units])</f>
        <v>5.1829756087773573</v>
      </c>
      <c r="U107">
        <f>LN(1+Table1[[#This Row],[estimated_shipments_units]])</f>
        <v>5.0814043649844631</v>
      </c>
      <c r="V107">
        <f t="shared" si="8"/>
        <v>-0.17242529590300662</v>
      </c>
      <c r="W107">
        <v>15000</v>
      </c>
      <c r="X107">
        <f>SKEW(Table1[estimated_asp_usd])</f>
        <v>6.1553602568167474</v>
      </c>
      <c r="Y107">
        <f>LN(1+Table1[[#This Row],[estimated_asp_usd]])</f>
        <v>9.6158721445288897</v>
      </c>
      <c r="Z107">
        <f>SKEW(Table1[log(estimated_asp_usd)])</f>
        <v>-2.8993473795412101</v>
      </c>
      <c r="AA107">
        <v>2.4</v>
      </c>
      <c r="AB107">
        <f>SKEW(Table1[estimated_revenue_usd_m])</f>
        <v>5.8862244869270315</v>
      </c>
      <c r="AC107">
        <f>LN(1+Table1[[#This Row],[estimated_revenue_usd_m]])</f>
        <v>1.2237754316221157</v>
      </c>
      <c r="AD107">
        <f>SKEW(Table1[log(estimated_revenue_usd)])</f>
        <v>0.29428154884363278</v>
      </c>
      <c r="AE107" t="s">
        <v>58</v>
      </c>
      <c r="BD107" s="7">
        <v>192</v>
      </c>
      <c r="BE107" s="7">
        <v>2250</v>
      </c>
      <c r="BF107" s="7">
        <v>1000</v>
      </c>
      <c r="BG107" s="7">
        <v>5165</v>
      </c>
      <c r="BH107" s="7">
        <v>35000</v>
      </c>
      <c r="BI107" s="7">
        <v>180.8</v>
      </c>
    </row>
    <row r="108" spans="1:61" x14ac:dyDescent="0.35">
      <c r="A108">
        <v>2023</v>
      </c>
      <c r="B108" t="s">
        <v>31</v>
      </c>
      <c r="C108" t="s">
        <v>57</v>
      </c>
      <c r="D108" s="1" t="d">
        <v>2018-05-08</v>
      </c>
      <c r="E108" s="11">
        <f>Table1[[#This Row],[year]]-YEAR(Table1[[#This Row],[launch_date]])</f>
        <v>5</v>
      </c>
      <c r="F108">
        <v>32</v>
      </c>
      <c r="G108">
        <f>SKEW(Table1[memory_gb])</f>
        <v>4.4615286901097004</v>
      </c>
      <c r="H108">
        <f>LN(1+Table1[[#This Row],[memory_gb]])</f>
        <v>3.4965075614664802</v>
      </c>
      <c r="I108">
        <f>SKEW(Table1[log(memory_gb)])</f>
        <v>-0.12349734745152563</v>
      </c>
      <c r="J108">
        <v>123</v>
      </c>
      <c r="K108" cm="1">
        <f t="array" ref="K108">SKEW(Table1[fp16_tflops])</f>
        <v>3.0570434318989719</v>
      </c>
      <c r="L108">
        <f>LN(1+Table1[[#This Row],[fp16_tflops]])</f>
        <v>4.8202815656050371</v>
      </c>
      <c r="M108">
        <f t="shared" si="7"/>
        <v>1.5350922466695693</v>
      </c>
      <c r="N108">
        <v>220</v>
      </c>
      <c r="O108" cm="1">
        <f t="array" ref="O108">SKEW(Table1[tdp_watts])</f>
        <v>6.0149845187563606</v>
      </c>
      <c r="P108">
        <f>LN(1+Table1[[#This Row],[tdp_watts]])</f>
        <v>5.3981627015177525</v>
      </c>
      <c r="Q108" s="10">
        <f>(Table1[[#This Row],[fp16_tflops]]/Table1[[#This Row],[tdp_watts]])</f>
        <v>0.55909090909090908</v>
      </c>
      <c r="R108">
        <f>SKEW(Table1[log(tdp_watts)])</f>
        <v>1.0730603511378074</v>
      </c>
      <c r="S108">
        <v>155</v>
      </c>
      <c r="T108">
        <f>SKEW(Table1[estimated_shipments_units])</f>
        <v>5.1829756087773573</v>
      </c>
      <c r="U108">
        <f>LN(1+Table1[[#This Row],[estimated_shipments_units]])</f>
        <v>5.0498560072495371</v>
      </c>
      <c r="V108">
        <f t="shared" si="8"/>
        <v>-0.34854817419001916</v>
      </c>
      <c r="W108">
        <v>15000</v>
      </c>
      <c r="X108">
        <f>SKEW(Table1[estimated_asp_usd])</f>
        <v>6.1553602568167474</v>
      </c>
      <c r="Y108">
        <f>LN(1+Table1[[#This Row],[estimated_asp_usd]])</f>
        <v>9.6158721445288897</v>
      </c>
      <c r="Z108">
        <f>SKEW(Table1[log(estimated_asp_usd)])</f>
        <v>-2.8993473795412101</v>
      </c>
      <c r="AA108">
        <v>2.2999999999999998</v>
      </c>
      <c r="AB108">
        <f>SKEW(Table1[estimated_revenue_usd_m])</f>
        <v>5.8862244869270315</v>
      </c>
      <c r="AC108">
        <f>LN(1+Table1[[#This Row],[estimated_revenue_usd_m]])</f>
        <v>1.1939224684724346</v>
      </c>
      <c r="AD108">
        <f>SKEW(Table1[log(estimated_revenue_usd)])</f>
        <v>0.29428154884363278</v>
      </c>
      <c r="AE108" t="s">
        <v>58</v>
      </c>
      <c r="BD108" s="6">
        <v>192</v>
      </c>
      <c r="BE108" s="6">
        <v>2250</v>
      </c>
      <c r="BF108" s="6">
        <v>1000</v>
      </c>
      <c r="BG108" s="6">
        <v>126650</v>
      </c>
      <c r="BH108" s="6">
        <v>35000</v>
      </c>
      <c r="BI108" s="6">
        <v>4432.8</v>
      </c>
    </row>
    <row r="109" spans="1:61" x14ac:dyDescent="0.35">
      <c r="A109">
        <v>2024</v>
      </c>
      <c r="B109" t="s">
        <v>31</v>
      </c>
      <c r="C109" t="s">
        <v>57</v>
      </c>
      <c r="D109" s="1" t="d">
        <v>2018-05-08</v>
      </c>
      <c r="E109" s="11">
        <f>Table1[[#This Row],[year]]-YEAR(Table1[[#This Row],[launch_date]])</f>
        <v>6</v>
      </c>
      <c r="F109">
        <v>32</v>
      </c>
      <c r="G109">
        <f>SKEW(Table1[memory_gb])</f>
        <v>4.4615286901097004</v>
      </c>
      <c r="H109">
        <f>LN(1+Table1[[#This Row],[memory_gb]])</f>
        <v>3.4965075614664802</v>
      </c>
      <c r="I109">
        <f>SKEW(Table1[log(memory_gb)])</f>
        <v>-0.12349734745152563</v>
      </c>
      <c r="J109">
        <v>123</v>
      </c>
      <c r="K109" cm="1">
        <f t="array" ref="K109">SKEW(Table1[fp16_tflops])</f>
        <v>3.0570434318989719</v>
      </c>
      <c r="L109">
        <f>LN(1+Table1[[#This Row],[fp16_tflops]])</f>
        <v>4.8202815656050371</v>
      </c>
      <c r="M109">
        <f t="shared" si="7"/>
        <v>1.4262308123131773</v>
      </c>
      <c r="N109">
        <v>220</v>
      </c>
      <c r="O109" cm="1">
        <f t="array" ref="O109">SKEW(Table1[tdp_watts])</f>
        <v>6.0149845187563606</v>
      </c>
      <c r="P109">
        <f>LN(1+Table1[[#This Row],[tdp_watts]])</f>
        <v>5.3981627015177525</v>
      </c>
      <c r="Q109" s="10">
        <f>(Table1[[#This Row],[fp16_tflops]]/Table1[[#This Row],[tdp_watts]])</f>
        <v>0.55909090909090908</v>
      </c>
      <c r="R109">
        <f>SKEW(Table1[log(tdp_watts)])</f>
        <v>1.0730603511378074</v>
      </c>
      <c r="S109">
        <v>121</v>
      </c>
      <c r="T109">
        <f>SKEW(Table1[estimated_shipments_units])</f>
        <v>5.1829756087773573</v>
      </c>
      <c r="U109">
        <f>LN(1+Table1[[#This Row],[estimated_shipments_units]])</f>
        <v>4.8040210447332568</v>
      </c>
      <c r="V109">
        <f t="shared" si="8"/>
        <v>-0.56082621968220225</v>
      </c>
      <c r="W109">
        <v>15000</v>
      </c>
      <c r="X109">
        <f>SKEW(Table1[estimated_asp_usd])</f>
        <v>6.1553602568167474</v>
      </c>
      <c r="Y109">
        <f>LN(1+Table1[[#This Row],[estimated_asp_usd]])</f>
        <v>9.6158721445288897</v>
      </c>
      <c r="Z109">
        <f>SKEW(Table1[log(estimated_asp_usd)])</f>
        <v>-2.8993473795412101</v>
      </c>
      <c r="AA109">
        <v>1.8</v>
      </c>
      <c r="AB109">
        <f>SKEW(Table1[estimated_revenue_usd_m])</f>
        <v>5.8862244869270315</v>
      </c>
      <c r="AC109">
        <f>LN(1+Table1[[#This Row],[estimated_revenue_usd_m]])</f>
        <v>1.0296194171811581</v>
      </c>
      <c r="AD109">
        <f>SKEW(Table1[log(estimated_revenue_usd)])</f>
        <v>0.29428154884363278</v>
      </c>
      <c r="AE109" t="s">
        <v>58</v>
      </c>
      <c r="BD109" s="7">
        <v>192</v>
      </c>
      <c r="BE109" s="7">
        <v>2250</v>
      </c>
      <c r="BF109" s="7">
        <v>1000</v>
      </c>
      <c r="BG109" s="7">
        <v>86084</v>
      </c>
      <c r="BH109" s="7">
        <v>35000</v>
      </c>
      <c r="BI109" s="7">
        <v>3012.9</v>
      </c>
    </row>
    <row r="110" spans="1:61" x14ac:dyDescent="0.35">
      <c r="A110">
        <v>2025</v>
      </c>
      <c r="B110" t="s">
        <v>31</v>
      </c>
      <c r="C110" t="s">
        <v>57</v>
      </c>
      <c r="D110" s="1" t="d">
        <v>2018-05-08</v>
      </c>
      <c r="E110" s="11">
        <f>Table1[[#This Row],[year]]-YEAR(Table1[[#This Row],[launch_date]])</f>
        <v>7</v>
      </c>
      <c r="F110">
        <v>32</v>
      </c>
      <c r="G110">
        <f>SKEW(Table1[memory_gb])</f>
        <v>4.4615286901097004</v>
      </c>
      <c r="H110">
        <f>LN(1+Table1[[#This Row],[memory_gb]])</f>
        <v>3.4965075614664802</v>
      </c>
      <c r="I110">
        <f>SKEW(Table1[log(memory_gb)])</f>
        <v>-0.12349734745152563</v>
      </c>
      <c r="J110">
        <v>123</v>
      </c>
      <c r="K110" cm="1">
        <f t="array" ref="K110">SKEW(Table1[fp16_tflops])</f>
        <v>3.0570434318989719</v>
      </c>
      <c r="L110">
        <f>LN(1+Table1[[#This Row],[fp16_tflops]])</f>
        <v>4.8202815656050371</v>
      </c>
      <c r="M110">
        <f t="shared" si="7"/>
        <v>1.3083843054570534</v>
      </c>
      <c r="N110">
        <v>220</v>
      </c>
      <c r="O110" cm="1">
        <f t="array" ref="O110">SKEW(Table1[tdp_watts])</f>
        <v>6.0149845187563606</v>
      </c>
      <c r="P110">
        <f>LN(1+Table1[[#This Row],[tdp_watts]])</f>
        <v>5.3981627015177525</v>
      </c>
      <c r="Q110" s="10">
        <f>(Table1[[#This Row],[fp16_tflops]]/Table1[[#This Row],[tdp_watts]])</f>
        <v>0.55909090909090908</v>
      </c>
      <c r="R110">
        <f>SKEW(Table1[log(tdp_watts)])</f>
        <v>1.0730603511378074</v>
      </c>
      <c r="S110">
        <v>177</v>
      </c>
      <c r="T110">
        <f>SKEW(Table1[estimated_shipments_units])</f>
        <v>5.1829756087773573</v>
      </c>
      <c r="U110">
        <f>LN(1+Table1[[#This Row],[estimated_shipments_units]])</f>
        <v>5.181783550292085</v>
      </c>
      <c r="V110">
        <f t="shared" si="8"/>
        <v>-0.77854721190129594</v>
      </c>
      <c r="W110">
        <v>15000</v>
      </c>
      <c r="X110">
        <f>SKEW(Table1[estimated_asp_usd])</f>
        <v>6.1553602568167474</v>
      </c>
      <c r="Y110">
        <f>LN(1+Table1[[#This Row],[estimated_asp_usd]])</f>
        <v>9.6158721445288897</v>
      </c>
      <c r="Z110">
        <f>SKEW(Table1[log(estimated_asp_usd)])</f>
        <v>-2.8993473795412101</v>
      </c>
      <c r="AA110">
        <v>2.7</v>
      </c>
      <c r="AB110">
        <f>SKEW(Table1[estimated_revenue_usd_m])</f>
        <v>5.8862244869270315</v>
      </c>
      <c r="AC110">
        <f>LN(1+Table1[[#This Row],[estimated_revenue_usd_m]])</f>
        <v>1.3083328196501789</v>
      </c>
      <c r="AD110">
        <f>SKEW(Table1[log(estimated_revenue_usd)])</f>
        <v>0.29428154884363278</v>
      </c>
      <c r="AE110" t="s">
        <v>58</v>
      </c>
      <c r="BD110" s="6">
        <v>384</v>
      </c>
      <c r="BE110" s="6">
        <v>5000</v>
      </c>
      <c r="BF110" s="6">
        <v>2700</v>
      </c>
      <c r="BG110" s="6">
        <v>2564</v>
      </c>
      <c r="BH110" s="6">
        <v>65000</v>
      </c>
      <c r="BI110" s="6">
        <v>166.7</v>
      </c>
    </row>
    <row r="111" spans="1:61" x14ac:dyDescent="0.35">
      <c r="A111">
        <v>2026</v>
      </c>
      <c r="B111" t="s">
        <v>31</v>
      </c>
      <c r="C111" t="s">
        <v>57</v>
      </c>
      <c r="D111" s="1" t="d">
        <v>2018-05-08</v>
      </c>
      <c r="E111" s="11">
        <f>Table1[[#This Row],[year]]-YEAR(Table1[[#This Row],[launch_date]])</f>
        <v>8</v>
      </c>
      <c r="F111">
        <v>32</v>
      </c>
      <c r="G111">
        <f>SKEW(Table1[memory_gb])</f>
        <v>4.4615286901097004</v>
      </c>
      <c r="H111">
        <f>LN(1+Table1[[#This Row],[memory_gb]])</f>
        <v>3.4965075614664802</v>
      </c>
      <c r="I111">
        <f>SKEW(Table1[log(memory_gb)])</f>
        <v>-0.12349734745152563</v>
      </c>
      <c r="J111">
        <v>123</v>
      </c>
      <c r="K111" cm="1">
        <f t="array" ref="K111">SKEW(Table1[fp16_tflops])</f>
        <v>3.0570434318989719</v>
      </c>
      <c r="L111">
        <f>LN(1+Table1[[#This Row],[fp16_tflops]])</f>
        <v>4.8202815656050371</v>
      </c>
      <c r="M111">
        <f t="shared" si="7"/>
        <v>1.1791735346996752</v>
      </c>
      <c r="N111">
        <v>220</v>
      </c>
      <c r="O111" cm="1">
        <f t="array" ref="O111">SKEW(Table1[tdp_watts])</f>
        <v>6.0149845187563606</v>
      </c>
      <c r="P111">
        <f>LN(1+Table1[[#This Row],[tdp_watts]])</f>
        <v>5.3981627015177525</v>
      </c>
      <c r="Q111" s="10">
        <f>(Table1[[#This Row],[fp16_tflops]]/Table1[[#This Row],[tdp_watts]])</f>
        <v>0.55909090909090908</v>
      </c>
      <c r="R111">
        <f>SKEW(Table1[log(tdp_watts)])</f>
        <v>1.0730603511378074</v>
      </c>
      <c r="S111">
        <v>147</v>
      </c>
      <c r="T111">
        <f>SKEW(Table1[estimated_shipments_units])</f>
        <v>5.1829756087773573</v>
      </c>
      <c r="U111">
        <f>LN(1+Table1[[#This Row],[estimated_shipments_units]])</f>
        <v>4.9972122737641147</v>
      </c>
      <c r="V111">
        <f t="shared" si="8"/>
        <v>-1.1209828565486548</v>
      </c>
      <c r="W111">
        <v>15000</v>
      </c>
      <c r="X111">
        <f>SKEW(Table1[estimated_asp_usd])</f>
        <v>6.1553602568167474</v>
      </c>
      <c r="Y111">
        <f>LN(1+Table1[[#This Row],[estimated_asp_usd]])</f>
        <v>9.6158721445288897</v>
      </c>
      <c r="Z111">
        <f>SKEW(Table1[log(estimated_asp_usd)])</f>
        <v>-2.8993473795412101</v>
      </c>
      <c r="AA111">
        <v>2.2000000000000002</v>
      </c>
      <c r="AB111">
        <f>SKEW(Table1[estimated_revenue_usd_m])</f>
        <v>5.8862244869270315</v>
      </c>
      <c r="AC111">
        <f>LN(1+Table1[[#This Row],[estimated_revenue_usd_m]])</f>
        <v>1.1631508098056809</v>
      </c>
      <c r="AD111">
        <f>SKEW(Table1[log(estimated_revenue_usd)])</f>
        <v>0.29428154884363278</v>
      </c>
      <c r="AE111" t="s">
        <v>58</v>
      </c>
      <c r="BD111" s="7">
        <v>384</v>
      </c>
      <c r="BE111" s="7">
        <v>5000</v>
      </c>
      <c r="BF111" s="7">
        <v>2700</v>
      </c>
      <c r="BG111" s="7">
        <v>45968</v>
      </c>
      <c r="BH111" s="7">
        <v>65000</v>
      </c>
      <c r="BI111" s="7">
        <v>2987.9</v>
      </c>
    </row>
    <row r="112" spans="1:61" x14ac:dyDescent="0.35">
      <c r="A112">
        <v>2020</v>
      </c>
      <c r="B112" t="s">
        <v>11</v>
      </c>
      <c r="C112" t="s">
        <v>12</v>
      </c>
      <c r="D112" s="1" t="d">
        <v>2017-05-10</v>
      </c>
      <c r="E112" s="11">
        <f>Table1[[#This Row],[year]]-YEAR(Table1[[#This Row],[launch_date]])</f>
        <v>3</v>
      </c>
      <c r="F112">
        <v>32</v>
      </c>
      <c r="G112">
        <f>SKEW(Table1[memory_gb])</f>
        <v>4.4615286901097004</v>
      </c>
      <c r="H112">
        <f>LN(1+Table1[[#This Row],[memory_gb]])</f>
        <v>3.4965075614664802</v>
      </c>
      <c r="I112">
        <f>SKEW(Table1[log(memory_gb)])</f>
        <v>-0.12349734745152563</v>
      </c>
      <c r="J112">
        <v>100</v>
      </c>
      <c r="K112" cm="1">
        <f t="array" ref="K112">SKEW(Table1[fp16_tflops])</f>
        <v>3.0570434318989719</v>
      </c>
      <c r="L112">
        <f>LN(1+Table1[[#This Row],[fp16_tflops]])</f>
        <v>4.6151205168412597</v>
      </c>
      <c r="M112">
        <f t="shared" si="7"/>
        <v>1.0350983390135307</v>
      </c>
      <c r="N112">
        <v>300</v>
      </c>
      <c r="O112" cm="1">
        <f t="array" ref="O112">SKEW(Table1[tdp_watts])</f>
        <v>6.0149845187563606</v>
      </c>
      <c r="P112">
        <f>LN(1+Table1[[#This Row],[tdp_watts]])</f>
        <v>5.7071102647488754</v>
      </c>
      <c r="Q112" s="10">
        <f>(Table1[[#This Row],[fp16_tflops]]/Table1[[#This Row],[tdp_watts]])</f>
        <v>0.33333333333333331</v>
      </c>
      <c r="R112">
        <f>SKEW(Table1[log(tdp_watts)])</f>
        <v>1.0730603511378074</v>
      </c>
      <c r="S112">
        <v>6128</v>
      </c>
      <c r="T112">
        <f>SKEW(Table1[estimated_shipments_units])</f>
        <v>5.1829756087773573</v>
      </c>
      <c r="U112">
        <f>LN(1+Table1[[#This Row],[estimated_shipments_units]])</f>
        <v>8.7207868834857312</v>
      </c>
      <c r="V112">
        <f t="shared" si="8"/>
        <v>-1.3759750312341565</v>
      </c>
      <c r="W112">
        <v>15000</v>
      </c>
      <c r="X112">
        <f>SKEW(Table1[estimated_asp_usd])</f>
        <v>6.1553602568167474</v>
      </c>
      <c r="Y112">
        <f>LN(1+Table1[[#This Row],[estimated_asp_usd]])</f>
        <v>9.6158721445288897</v>
      </c>
      <c r="Z112">
        <f>SKEW(Table1[log(estimated_asp_usd)])</f>
        <v>-2.8993473795412101</v>
      </c>
      <c r="AA112">
        <v>91.9</v>
      </c>
      <c r="AB112">
        <f>SKEW(Table1[estimated_revenue_usd_m])</f>
        <v>5.8862244869270315</v>
      </c>
      <c r="AC112">
        <f>LN(1+Table1[[#This Row],[estimated_revenue_usd_m]])</f>
        <v>4.5315236458197932</v>
      </c>
      <c r="AD112">
        <f>SKEW(Table1[log(estimated_revenue_usd)])</f>
        <v>0.29428154884363278</v>
      </c>
      <c r="AE112" t="s">
        <v>13</v>
      </c>
      <c r="BD112" s="6">
        <v>384</v>
      </c>
      <c r="BE112" s="6">
        <v>5000</v>
      </c>
      <c r="BF112" s="6">
        <v>2700</v>
      </c>
      <c r="BG112" s="6">
        <v>40186</v>
      </c>
      <c r="BH112" s="6">
        <v>65000</v>
      </c>
      <c r="BI112" s="6">
        <v>2612.1</v>
      </c>
    </row>
    <row r="113" spans="1:61" x14ac:dyDescent="0.35">
      <c r="A113">
        <v>2021</v>
      </c>
      <c r="B113" t="s">
        <v>11</v>
      </c>
      <c r="C113" t="s">
        <v>12</v>
      </c>
      <c r="D113" s="1" t="d">
        <v>2017-05-10</v>
      </c>
      <c r="E113" s="11">
        <f>Table1[[#This Row],[year]]-YEAR(Table1[[#This Row],[launch_date]])</f>
        <v>4</v>
      </c>
      <c r="F113">
        <v>32</v>
      </c>
      <c r="G113">
        <f>SKEW(Table1[memory_gb])</f>
        <v>4.4615286901097004</v>
      </c>
      <c r="H113">
        <f>LN(1+Table1[[#This Row],[memory_gb]])</f>
        <v>3.4965075614664802</v>
      </c>
      <c r="I113">
        <f>SKEW(Table1[log(memory_gb)])</f>
        <v>-0.12349734745152563</v>
      </c>
      <c r="J113">
        <v>100</v>
      </c>
      <c r="K113" cm="1">
        <f t="array" ref="K113">SKEW(Table1[fp16_tflops])</f>
        <v>3.0570434318989719</v>
      </c>
      <c r="L113">
        <f>LN(1+Table1[[#This Row],[fp16_tflops]])</f>
        <v>4.6151205168412597</v>
      </c>
      <c r="M113">
        <f t="shared" si="7"/>
        <v>0.85714285714285721</v>
      </c>
      <c r="N113">
        <v>300</v>
      </c>
      <c r="O113" cm="1">
        <f t="array" ref="O113">SKEW(Table1[tdp_watts])</f>
        <v>6.0149845187563606</v>
      </c>
      <c r="P113">
        <f>LN(1+Table1[[#This Row],[tdp_watts]])</f>
        <v>5.7071102647488754</v>
      </c>
      <c r="Q113" s="10">
        <f>(Table1[[#This Row],[fp16_tflops]]/Table1[[#This Row],[tdp_watts]])</f>
        <v>0.33333333333333331</v>
      </c>
      <c r="R113">
        <f>SKEW(Table1[log(tdp_watts)])</f>
        <v>1.0730603511378074</v>
      </c>
      <c r="S113">
        <v>2719</v>
      </c>
      <c r="T113">
        <f>SKEW(Table1[estimated_shipments_units])</f>
        <v>5.1829756087773573</v>
      </c>
      <c r="U113">
        <f>LN(1+Table1[[#This Row],[estimated_shipments_units]])</f>
        <v>7.9083871592900428</v>
      </c>
      <c r="V113">
        <f t="shared" si="8"/>
        <v>-1.6131089502887941</v>
      </c>
      <c r="W113">
        <v>15000</v>
      </c>
      <c r="X113">
        <f>SKEW(Table1[estimated_asp_usd])</f>
        <v>6.1553602568167474</v>
      </c>
      <c r="Y113">
        <f>LN(1+Table1[[#This Row],[estimated_asp_usd]])</f>
        <v>9.6158721445288897</v>
      </c>
      <c r="Z113">
        <f>SKEW(Table1[log(estimated_asp_usd)])</f>
        <v>-2.8993473795412101</v>
      </c>
      <c r="AA113">
        <v>40.799999999999997</v>
      </c>
      <c r="AB113">
        <f>SKEW(Table1[estimated_revenue_usd_m])</f>
        <v>5.8862244869270315</v>
      </c>
      <c r="AC113">
        <f>LN(1+Table1[[#This Row],[estimated_revenue_usd_m]])</f>
        <v>3.7328963395307104</v>
      </c>
      <c r="AD113">
        <f>SKEW(Table1[log(estimated_revenue_usd)])</f>
        <v>0.29428154884363278</v>
      </c>
      <c r="AE113" t="s">
        <v>13</v>
      </c>
      <c r="BD113" s="7">
        <v>288</v>
      </c>
      <c r="BE113" s="7">
        <v>3500</v>
      </c>
      <c r="BF113" s="7">
        <v>1400</v>
      </c>
      <c r="BG113" s="7">
        <v>0</v>
      </c>
      <c r="BH113" s="7">
        <v>40000</v>
      </c>
      <c r="BI113" s="7">
        <v>0</v>
      </c>
    </row>
    <row r="114" spans="1:61" x14ac:dyDescent="0.35">
      <c r="A114">
        <v>2022</v>
      </c>
      <c r="B114" t="s">
        <v>11</v>
      </c>
      <c r="C114" t="s">
        <v>12</v>
      </c>
      <c r="D114" s="1" t="d">
        <v>2017-05-10</v>
      </c>
      <c r="E114" s="11">
        <f>Table1[[#This Row],[year]]-YEAR(Table1[[#This Row],[launch_date]])</f>
        <v>5</v>
      </c>
      <c r="F114">
        <v>32</v>
      </c>
      <c r="G114">
        <f>SKEW(Table1[memory_gb])</f>
        <v>4.4615286901097004</v>
      </c>
      <c r="H114">
        <f>LN(1+Table1[[#This Row],[memory_gb]])</f>
        <v>3.4965075614664802</v>
      </c>
      <c r="I114">
        <f>SKEW(Table1[log(memory_gb)])</f>
        <v>-0.12349734745152563</v>
      </c>
      <c r="J114">
        <v>100</v>
      </c>
      <c r="K114" cm="1">
        <f t="array" ref="K114">SKEW(Table1[fp16_tflops])</f>
        <v>3.0570434318989719</v>
      </c>
      <c r="L114">
        <f>LN(1+Table1[[#This Row],[fp16_tflops]])</f>
        <v>4.6151205168412597</v>
      </c>
      <c r="M114">
        <f t="shared" si="7"/>
        <v>0.64406118871953222</v>
      </c>
      <c r="N114">
        <v>300</v>
      </c>
      <c r="O114" cm="1">
        <f t="array" ref="O114">SKEW(Table1[tdp_watts])</f>
        <v>6.0149845187563606</v>
      </c>
      <c r="P114">
        <f>LN(1+Table1[[#This Row],[tdp_watts]])</f>
        <v>5.7071102647488754</v>
      </c>
      <c r="Q114" s="10">
        <f>(Table1[[#This Row],[fp16_tflops]]/Table1[[#This Row],[tdp_watts]])</f>
        <v>0.33333333333333331</v>
      </c>
      <c r="R114">
        <f>SKEW(Table1[log(tdp_watts)])</f>
        <v>1.0730603511378074</v>
      </c>
      <c r="S114">
        <v>3098</v>
      </c>
      <c r="T114">
        <f>SKEW(Table1[estimated_shipments_units])</f>
        <v>5.1829756087773573</v>
      </c>
      <c r="U114">
        <f>LN(1+Table1[[#This Row],[estimated_shipments_units]])</f>
        <v>8.0388347577877486</v>
      </c>
      <c r="V114">
        <f t="shared" si="8"/>
        <v>-1.4339561641726832</v>
      </c>
      <c r="W114">
        <v>15000</v>
      </c>
      <c r="X114">
        <f>SKEW(Table1[estimated_asp_usd])</f>
        <v>6.1553602568167474</v>
      </c>
      <c r="Y114">
        <f>LN(1+Table1[[#This Row],[estimated_asp_usd]])</f>
        <v>9.6158721445288897</v>
      </c>
      <c r="Z114">
        <f>SKEW(Table1[log(estimated_asp_usd)])</f>
        <v>-2.8993473795412101</v>
      </c>
      <c r="AA114">
        <v>46.5</v>
      </c>
      <c r="AB114">
        <f>SKEW(Table1[estimated_revenue_usd_m])</f>
        <v>5.8862244869270315</v>
      </c>
      <c r="AC114">
        <f>LN(1+Table1[[#This Row],[estimated_revenue_usd_m]])</f>
        <v>3.8607297110405954</v>
      </c>
      <c r="AD114">
        <f>SKEW(Table1[log(estimated_revenue_usd)])</f>
        <v>0.29428154884363278</v>
      </c>
      <c r="AE114" t="s">
        <v>13</v>
      </c>
      <c r="BD114" s="6">
        <v>288</v>
      </c>
      <c r="BE114" s="6">
        <v>3500</v>
      </c>
      <c r="BF114" s="6">
        <v>1400</v>
      </c>
      <c r="BG114" s="6">
        <v>888</v>
      </c>
      <c r="BH114" s="6">
        <v>40000</v>
      </c>
      <c r="BI114" s="6">
        <v>35.5</v>
      </c>
    </row>
    <row r="115" spans="1:61" x14ac:dyDescent="0.35">
      <c r="A115">
        <v>2023</v>
      </c>
      <c r="B115" t="s">
        <v>11</v>
      </c>
      <c r="C115" t="s">
        <v>12</v>
      </c>
      <c r="D115" s="1" t="d">
        <v>2017-05-10</v>
      </c>
      <c r="E115" s="11">
        <f>Table1[[#This Row],[year]]-YEAR(Table1[[#This Row],[launch_date]])</f>
        <v>6</v>
      </c>
      <c r="F115">
        <v>32</v>
      </c>
      <c r="G115">
        <f>SKEW(Table1[memory_gb])</f>
        <v>4.4615286901097004</v>
      </c>
      <c r="H115">
        <f>LN(1+Table1[[#This Row],[memory_gb]])</f>
        <v>3.4965075614664802</v>
      </c>
      <c r="I115">
        <f>SKEW(Table1[log(memory_gb)])</f>
        <v>-0.12349734745152563</v>
      </c>
      <c r="J115">
        <v>100</v>
      </c>
      <c r="K115" cm="1">
        <f t="array" ref="K115">SKEW(Table1[fp16_tflops])</f>
        <v>3.0570434318989719</v>
      </c>
      <c r="L115">
        <f>LN(1+Table1[[#This Row],[fp16_tflops]])</f>
        <v>4.6151205168412597</v>
      </c>
      <c r="M115">
        <f t="shared" si="7"/>
        <v>0.37416573867739533</v>
      </c>
      <c r="N115">
        <v>300</v>
      </c>
      <c r="O115" cm="1">
        <f t="array" ref="O115">SKEW(Table1[tdp_watts])</f>
        <v>6.0149845187563606</v>
      </c>
      <c r="P115">
        <f>LN(1+Table1[[#This Row],[tdp_watts]])</f>
        <v>5.7071102647488754</v>
      </c>
      <c r="Q115" s="10">
        <f>(Table1[[#This Row],[fp16_tflops]]/Table1[[#This Row],[tdp_watts]])</f>
        <v>0.33333333333333331</v>
      </c>
      <c r="R115">
        <f>SKEW(Table1[log(tdp_watts)])</f>
        <v>1.0730603511378074</v>
      </c>
      <c r="S115">
        <v>2572</v>
      </c>
      <c r="T115">
        <f>SKEW(Table1[estimated_shipments_units])</f>
        <v>5.1829756087773573</v>
      </c>
      <c r="U115">
        <f>LN(1+Table1[[#This Row],[estimated_shipments_units]])</f>
        <v>7.8528278122817445</v>
      </c>
      <c r="V115">
        <f t="shared" si="8"/>
        <v>-1.2494109196793128</v>
      </c>
      <c r="W115">
        <v>15000</v>
      </c>
      <c r="X115">
        <f>SKEW(Table1[estimated_asp_usd])</f>
        <v>6.1553602568167474</v>
      </c>
      <c r="Y115">
        <f>LN(1+Table1[[#This Row],[estimated_asp_usd]])</f>
        <v>9.6158721445288897</v>
      </c>
      <c r="Z115">
        <f>SKEW(Table1[log(estimated_asp_usd)])</f>
        <v>-2.8993473795412101</v>
      </c>
      <c r="AA115">
        <v>38.6</v>
      </c>
      <c r="AB115">
        <f>SKEW(Table1[estimated_revenue_usd_m])</f>
        <v>5.8862244869270315</v>
      </c>
      <c r="AC115">
        <f>LN(1+Table1[[#This Row],[estimated_revenue_usd_m]])</f>
        <v>3.6788291182604347</v>
      </c>
      <c r="AD115">
        <f>SKEW(Table1[log(estimated_revenue_usd)])</f>
        <v>0.29428154884363278</v>
      </c>
      <c r="AE115" t="s">
        <v>13</v>
      </c>
      <c r="BD115" s="7">
        <v>1500</v>
      </c>
      <c r="BE115" s="7">
        <v>510</v>
      </c>
      <c r="BF115" s="7">
        <v>300</v>
      </c>
      <c r="BG115" s="7">
        <v>258</v>
      </c>
      <c r="BH115" s="7">
        <v>15000</v>
      </c>
      <c r="BI115" s="7">
        <v>3.9</v>
      </c>
    </row>
    <row r="116" spans="1:61" x14ac:dyDescent="0.35">
      <c r="A116">
        <v>2024</v>
      </c>
      <c r="B116" t="s">
        <v>11</v>
      </c>
      <c r="C116" t="s">
        <v>12</v>
      </c>
      <c r="D116" s="1" t="d">
        <v>2017-05-10</v>
      </c>
      <c r="E116" s="11">
        <f>Table1[[#This Row],[year]]-YEAR(Table1[[#This Row],[launch_date]])</f>
        <v>7</v>
      </c>
      <c r="F116">
        <v>32</v>
      </c>
      <c r="G116">
        <f>SKEW(Table1[memory_gb])</f>
        <v>4.4615286901097004</v>
      </c>
      <c r="H116">
        <f>LN(1+Table1[[#This Row],[memory_gb]])</f>
        <v>3.4965075614664802</v>
      </c>
      <c r="I116">
        <f>SKEW(Table1[log(memory_gb)])</f>
        <v>-0.12349734745152563</v>
      </c>
      <c r="J116">
        <v>100</v>
      </c>
      <c r="K116" cm="1">
        <f t="array" ref="K116">SKEW(Table1[fp16_tflops])</f>
        <v>3.0570434318989719</v>
      </c>
      <c r="L116">
        <f>LN(1+Table1[[#This Row],[fp16_tflops]])</f>
        <v>4.6151205168412597</v>
      </c>
      <c r="M116">
        <f t="shared" si="7"/>
        <v>-1.5321077739827159E-15</v>
      </c>
      <c r="N116">
        <v>300</v>
      </c>
      <c r="O116" cm="1">
        <f t="array" ref="O116">SKEW(Table1[tdp_watts])</f>
        <v>6.0149845187563606</v>
      </c>
      <c r="P116">
        <f>LN(1+Table1[[#This Row],[tdp_watts]])</f>
        <v>5.7071102647488754</v>
      </c>
      <c r="Q116" s="10">
        <f>(Table1[[#This Row],[fp16_tflops]]/Table1[[#This Row],[tdp_watts]])</f>
        <v>0.33333333333333331</v>
      </c>
      <c r="R116">
        <f>SKEW(Table1[log(tdp_watts)])</f>
        <v>1.0730603511378074</v>
      </c>
      <c r="S116">
        <v>3437</v>
      </c>
      <c r="T116">
        <f>SKEW(Table1[estimated_shipments_units])</f>
        <v>5.1829756087773573</v>
      </c>
      <c r="U116">
        <f>LN(1+Table1[[#This Row],[estimated_shipments_units]])</f>
        <v>8.1426451859427953</v>
      </c>
      <c r="V116">
        <f t="shared" si="8"/>
        <v>-0.99003897751617553</v>
      </c>
      <c r="W116">
        <v>15000</v>
      </c>
      <c r="X116">
        <f>SKEW(Table1[estimated_asp_usd])</f>
        <v>6.1553602568167474</v>
      </c>
      <c r="Y116">
        <f>LN(1+Table1[[#This Row],[estimated_asp_usd]])</f>
        <v>9.6158721445288897</v>
      </c>
      <c r="Z116">
        <f>SKEW(Table1[log(estimated_asp_usd)])</f>
        <v>-2.8993473795412101</v>
      </c>
      <c r="AA116">
        <v>51.6</v>
      </c>
      <c r="AB116">
        <f>SKEW(Table1[estimated_revenue_usd_m])</f>
        <v>5.8862244869270315</v>
      </c>
      <c r="AC116">
        <f>LN(1+Table1[[#This Row],[estimated_revenue_usd_m]])</f>
        <v>3.9627161197436642</v>
      </c>
      <c r="AD116">
        <f>SKEW(Table1[log(estimated_revenue_usd)])</f>
        <v>0.29428154884363278</v>
      </c>
      <c r="AE116" t="s">
        <v>13</v>
      </c>
      <c r="BD116" s="6">
        <v>1500</v>
      </c>
      <c r="BE116" s="6">
        <v>510</v>
      </c>
      <c r="BF116" s="6">
        <v>300</v>
      </c>
      <c r="BG116" s="6">
        <v>3312</v>
      </c>
      <c r="BH116" s="6">
        <v>15000</v>
      </c>
      <c r="BI116" s="6">
        <v>49.7</v>
      </c>
    </row>
    <row r="117" spans="1:61" x14ac:dyDescent="0.35">
      <c r="A117">
        <v>2025</v>
      </c>
      <c r="B117" t="s">
        <v>11</v>
      </c>
      <c r="C117" t="s">
        <v>12</v>
      </c>
      <c r="D117" s="1" t="d">
        <v>2017-05-10</v>
      </c>
      <c r="E117" s="11">
        <f>Table1[[#This Row],[year]]-YEAR(Table1[[#This Row],[launch_date]])</f>
        <v>8</v>
      </c>
      <c r="F117">
        <v>32</v>
      </c>
      <c r="G117">
        <f>SKEW(Table1[memory_gb])</f>
        <v>4.4615286901097004</v>
      </c>
      <c r="H117">
        <f>LN(1+Table1[[#This Row],[memory_gb]])</f>
        <v>3.4965075614664802</v>
      </c>
      <c r="I117">
        <f>SKEW(Table1[log(memory_gb)])</f>
        <v>-0.12349734745152563</v>
      </c>
      <c r="J117">
        <v>100</v>
      </c>
      <c r="K117" cm="1">
        <f t="array" ref="K117">SKEW(Table1[fp16_tflops])</f>
        <v>3.0570434318989719</v>
      </c>
      <c r="L117">
        <f>LN(1+Table1[[#This Row],[fp16_tflops]])</f>
        <v>4.6151205168412597</v>
      </c>
      <c r="M117">
        <f t="shared" si="7"/>
        <v>-0.60858061945018327</v>
      </c>
      <c r="N117">
        <v>300</v>
      </c>
      <c r="O117" cm="1">
        <f t="array" ref="O117">SKEW(Table1[tdp_watts])</f>
        <v>6.0149845187563606</v>
      </c>
      <c r="P117">
        <f>LN(1+Table1[[#This Row],[tdp_watts]])</f>
        <v>5.7071102647488754</v>
      </c>
      <c r="Q117" s="10">
        <f>(Table1[[#This Row],[fp16_tflops]]/Table1[[#This Row],[tdp_watts]])</f>
        <v>0.33333333333333331</v>
      </c>
      <c r="R117">
        <f>SKEW(Table1[log(tdp_watts)])</f>
        <v>1.0730603511378074</v>
      </c>
      <c r="S117">
        <v>2504</v>
      </c>
      <c r="T117">
        <f>SKEW(Table1[estimated_shipments_units])</f>
        <v>5.1829756087773573</v>
      </c>
      <c r="U117">
        <f>LN(1+Table1[[#This Row],[estimated_shipments_units]])</f>
        <v>7.8260440135189651</v>
      </c>
      <c r="V117">
        <f t="shared" si="8"/>
        <v>-0.80398785957355268</v>
      </c>
      <c r="W117">
        <v>15000</v>
      </c>
      <c r="X117">
        <f>SKEW(Table1[estimated_asp_usd])</f>
        <v>6.1553602568167474</v>
      </c>
      <c r="Y117">
        <f>LN(1+Table1[[#This Row],[estimated_asp_usd]])</f>
        <v>9.6158721445288897</v>
      </c>
      <c r="Z117">
        <f>SKEW(Table1[log(estimated_asp_usd)])</f>
        <v>-2.8993473795412101</v>
      </c>
      <c r="AA117">
        <v>37.6</v>
      </c>
      <c r="AB117">
        <f>SKEW(Table1[estimated_revenue_usd_m])</f>
        <v>5.8862244869270315</v>
      </c>
      <c r="AC117">
        <f>LN(1+Table1[[#This Row],[estimated_revenue_usd_m]])</f>
        <v>3.6532522764707851</v>
      </c>
      <c r="AD117">
        <f>SKEW(Table1[log(estimated_revenue_usd)])</f>
        <v>0.29428154884363278</v>
      </c>
      <c r="AE117" t="s">
        <v>13</v>
      </c>
      <c r="BD117" s="7">
        <v>1500</v>
      </c>
      <c r="BE117" s="7">
        <v>510</v>
      </c>
      <c r="BF117" s="7">
        <v>300</v>
      </c>
      <c r="BG117" s="7">
        <v>3199</v>
      </c>
      <c r="BH117" s="7">
        <v>15000</v>
      </c>
      <c r="BI117" s="7">
        <v>48</v>
      </c>
    </row>
    <row r="118" spans="1:61" x14ac:dyDescent="0.35">
      <c r="A118">
        <v>2026</v>
      </c>
      <c r="B118" t="s">
        <v>11</v>
      </c>
      <c r="C118" t="s">
        <v>12</v>
      </c>
      <c r="D118" s="1" t="d">
        <v>2017-05-10</v>
      </c>
      <c r="E118" s="11">
        <f>Table1[[#This Row],[year]]-YEAR(Table1[[#This Row],[launch_date]])</f>
        <v>9</v>
      </c>
      <c r="F118">
        <v>32</v>
      </c>
      <c r="G118">
        <f>SKEW(Table1[memory_gb])</f>
        <v>4.4615286901097004</v>
      </c>
      <c r="H118">
        <f>LN(1+Table1[[#This Row],[memory_gb]])</f>
        <v>3.4965075614664802</v>
      </c>
      <c r="I118">
        <f>SKEW(Table1[log(memory_gb)])</f>
        <v>-0.12349734745152563</v>
      </c>
      <c r="J118">
        <v>100</v>
      </c>
      <c r="K118" cm="1">
        <f t="array" ref="K118">SKEW(Table1[fp16_tflops])</f>
        <v>3.0570434318989719</v>
      </c>
      <c r="L118">
        <f>LN(1+Table1[[#This Row],[fp16_tflops]])</f>
        <v>4.6151205168412597</v>
      </c>
      <c r="M118">
        <f t="shared" si="7"/>
        <v>-1.9999999999999987</v>
      </c>
      <c r="N118">
        <v>300</v>
      </c>
      <c r="O118" cm="1">
        <f t="array" ref="O118">SKEW(Table1[tdp_watts])</f>
        <v>6.0149845187563606</v>
      </c>
      <c r="P118">
        <f>LN(1+Table1[[#This Row],[tdp_watts]])</f>
        <v>5.7071102647488754</v>
      </c>
      <c r="Q118" s="10">
        <f>(Table1[[#This Row],[fp16_tflops]]/Table1[[#This Row],[tdp_watts]])</f>
        <v>0.33333333333333331</v>
      </c>
      <c r="R118">
        <f>SKEW(Table1[log(tdp_watts)])</f>
        <v>1.0730603511378074</v>
      </c>
      <c r="S118">
        <v>2873</v>
      </c>
      <c r="T118">
        <f>SKEW(Table1[estimated_shipments_units])</f>
        <v>5.1829756087773573</v>
      </c>
      <c r="U118">
        <f>LN(1+Table1[[#This Row],[estimated_shipments_units]])</f>
        <v>7.9634600666389703</v>
      </c>
      <c r="V118">
        <f t="shared" si="8"/>
        <v>-0.32149391971395636</v>
      </c>
      <c r="W118">
        <v>15000</v>
      </c>
      <c r="X118">
        <f>SKEW(Table1[estimated_asp_usd])</f>
        <v>6.1553602568167474</v>
      </c>
      <c r="Y118">
        <f>LN(1+Table1[[#This Row],[estimated_asp_usd]])</f>
        <v>9.6158721445288897</v>
      </c>
      <c r="Z118">
        <f>SKEW(Table1[log(estimated_asp_usd)])</f>
        <v>-2.8993473795412101</v>
      </c>
      <c r="AA118">
        <v>43.1</v>
      </c>
      <c r="AB118">
        <f>SKEW(Table1[estimated_revenue_usd_m])</f>
        <v>5.8862244869270315</v>
      </c>
      <c r="AC118">
        <f>LN(1+Table1[[#This Row],[estimated_revenue_usd_m]])</f>
        <v>3.7864597824528001</v>
      </c>
      <c r="AD118">
        <f>SKEW(Table1[log(estimated_revenue_usd)])</f>
        <v>0.29428154884363278</v>
      </c>
      <c r="AE118" t="s">
        <v>13</v>
      </c>
      <c r="BD118" s="6">
        <v>1500</v>
      </c>
      <c r="BE118" s="6">
        <v>510</v>
      </c>
      <c r="BF118" s="6">
        <v>300</v>
      </c>
      <c r="BG118" s="6">
        <v>1070</v>
      </c>
      <c r="BH118" s="6">
        <v>15000</v>
      </c>
      <c r="BI118" s="6">
        <v>16.100000000000001</v>
      </c>
    </row>
    <row r="119" spans="1:61" x14ac:dyDescent="0.35">
      <c r="A119">
        <v>2024</v>
      </c>
      <c r="B119" t="s">
        <v>41</v>
      </c>
      <c r="C119" t="s">
        <v>67</v>
      </c>
      <c r="D119" s="1" t="d">
        <v>2024-03-13</v>
      </c>
      <c r="E119" s="11">
        <f>Table1[[#This Row],[year]]-YEAR(Table1[[#This Row],[launch_date]])</f>
        <v>0</v>
      </c>
      <c r="F119">
        <v>0</v>
      </c>
      <c r="G119">
        <f>SKEW(Table1[memory_gb])</f>
        <v>4.4615286901097004</v>
      </c>
      <c r="H119">
        <f>LN(1+Table1[[#This Row],[memory_gb]])</f>
        <v>0</v>
      </c>
      <c r="I119">
        <f>SKEW(Table1[log(memory_gb)])</f>
        <v>-0.12349734745152563</v>
      </c>
      <c r="J119">
        <v>1250</v>
      </c>
      <c r="K119" cm="1">
        <f t="array" ref="K119">SKEW(Table1[fp16_tflops])</f>
        <v>3.0570434318989719</v>
      </c>
      <c r="L119">
        <f>LN(1+Table1[[#This Row],[fp16_tflops]])</f>
        <v>7.1316985104669115</v>
      </c>
      <c r="M119" t="e">
        <f t="shared" si="7"/>
        <v>#DIV/0!</v>
      </c>
      <c r="N119">
        <v>23000</v>
      </c>
      <c r="O119" cm="1">
        <f t="array" ref="O119">SKEW(Table1[tdp_watts])</f>
        <v>6.0149845187563606</v>
      </c>
      <c r="P119">
        <f>LN(1+Table1[[#This Row],[tdp_watts]])</f>
        <v>10.043292972227004</v>
      </c>
      <c r="Q119" s="10">
        <f>(Table1[[#This Row],[fp16_tflops]]/Table1[[#This Row],[tdp_watts]])</f>
        <v>5.434782608695652E-2</v>
      </c>
      <c r="R119">
        <f>SKEW(Table1[log(tdp_watts)])</f>
        <v>1.0730603511378074</v>
      </c>
      <c r="S119">
        <v>228</v>
      </c>
      <c r="T119">
        <f>SKEW(Table1[estimated_shipments_units])</f>
        <v>5.1829756087773573</v>
      </c>
      <c r="U119">
        <f>LN(1+Table1[[#This Row],[estimated_shipments_units]])</f>
        <v>5.43372200355424</v>
      </c>
      <c r="V119">
        <f t="shared" si="8"/>
        <v>-1.278890075573639</v>
      </c>
      <c r="W119">
        <v>2500000</v>
      </c>
      <c r="X119">
        <f>SKEW(Table1[estimated_asp_usd])</f>
        <v>6.1553602568167474</v>
      </c>
      <c r="Y119">
        <f>LN(1+Table1[[#This Row],[estimated_asp_usd]])</f>
        <v>14.731801689838349</v>
      </c>
      <c r="Z119">
        <f>SKEW(Table1[log(estimated_asp_usd)])</f>
        <v>-2.8993473795412101</v>
      </c>
      <c r="AA119">
        <v>570</v>
      </c>
      <c r="AB119">
        <f>SKEW(Table1[estimated_revenue_usd_m])</f>
        <v>5.8862244869270315</v>
      </c>
      <c r="AC119">
        <f>LN(1+Table1[[#This Row],[estimated_revenue_usd_m]])</f>
        <v>6.3473892096560105</v>
      </c>
      <c r="AD119">
        <f>SKEW(Table1[log(estimated_revenue_usd)])</f>
        <v>0.29428154884363278</v>
      </c>
      <c r="AE119" t="s">
        <v>68</v>
      </c>
      <c r="BD119" s="7">
        <v>32</v>
      </c>
      <c r="BE119" s="7">
        <v>745</v>
      </c>
      <c r="BF119" s="7">
        <v>300</v>
      </c>
      <c r="BG119" s="7">
        <v>81</v>
      </c>
      <c r="BH119" s="7">
        <v>15000</v>
      </c>
      <c r="BI119" s="7">
        <v>1.2</v>
      </c>
    </row>
    <row r="120" spans="1:61" x14ac:dyDescent="0.35">
      <c r="A120">
        <v>2025</v>
      </c>
      <c r="B120" t="s">
        <v>41</v>
      </c>
      <c r="C120" t="s">
        <v>67</v>
      </c>
      <c r="D120" s="1" t="d">
        <v>2024-03-13</v>
      </c>
      <c r="E120" s="11">
        <f>Table1[[#This Row],[year]]-YEAR(Table1[[#This Row],[launch_date]])</f>
        <v>1</v>
      </c>
      <c r="F120">
        <v>0</v>
      </c>
      <c r="G120">
        <f>SKEW(Table1[memory_gb])</f>
        <v>4.4615286901097004</v>
      </c>
      <c r="H120">
        <f>LN(1+Table1[[#This Row],[memory_gb]])</f>
        <v>0</v>
      </c>
      <c r="I120">
        <f>SKEW(Table1[log(memory_gb)])</f>
        <v>-0.12349734745152563</v>
      </c>
      <c r="J120">
        <v>1250</v>
      </c>
      <c r="K120" cm="1">
        <f t="array" ref="K120">SKEW(Table1[fp16_tflops])</f>
        <v>3.0570434318989719</v>
      </c>
      <c r="L120">
        <f>LN(1+Table1[[#This Row],[fp16_tflops]])</f>
        <v>7.1316985104669115</v>
      </c>
      <c r="M120" t="e">
        <f t="shared" si="7"/>
        <v>#DIV/0!</v>
      </c>
      <c r="N120">
        <v>23000</v>
      </c>
      <c r="O120" cm="1">
        <f t="array" ref="O120">SKEW(Table1[tdp_watts])</f>
        <v>6.0149845187563606</v>
      </c>
      <c r="P120">
        <f>LN(1+Table1[[#This Row],[tdp_watts]])</f>
        <v>10.043292972227004</v>
      </c>
      <c r="Q120" s="10">
        <f>(Table1[[#This Row],[fp16_tflops]]/Table1[[#This Row],[tdp_watts]])</f>
        <v>5.434782608695652E-2</v>
      </c>
      <c r="R120">
        <f>SKEW(Table1[log(tdp_watts)])</f>
        <v>1.0730603511378074</v>
      </c>
      <c r="S120">
        <v>1116</v>
      </c>
      <c r="T120">
        <f>SKEW(Table1[estimated_shipments_units])</f>
        <v>5.1829756087773573</v>
      </c>
      <c r="U120">
        <f>LN(1+Table1[[#This Row],[estimated_shipments_units]])</f>
        <v>7.0184017990692009</v>
      </c>
      <c r="V120" t="e">
        <f t="shared" si="8"/>
        <v>#DIV/0!</v>
      </c>
      <c r="W120">
        <v>2500000</v>
      </c>
      <c r="X120">
        <f>SKEW(Table1[estimated_asp_usd])</f>
        <v>6.1553602568167474</v>
      </c>
      <c r="Y120">
        <f>LN(1+Table1[[#This Row],[estimated_asp_usd]])</f>
        <v>14.731801689838349</v>
      </c>
      <c r="Z120">
        <f>SKEW(Table1[log(estimated_asp_usd)])</f>
        <v>-2.8993473795412101</v>
      </c>
      <c r="AA120">
        <v>2790</v>
      </c>
      <c r="AB120">
        <f>SKEW(Table1[estimated_revenue_usd_m])</f>
        <v>5.8862244869270315</v>
      </c>
      <c r="AC120">
        <f>LN(1+Table1[[#This Row],[estimated_revenue_usd_m]])</f>
        <v>7.9341552335363223</v>
      </c>
      <c r="AD120">
        <f>SKEW(Table1[log(estimated_revenue_usd)])</f>
        <v>0.29428154884363278</v>
      </c>
      <c r="AE120" t="s">
        <v>68</v>
      </c>
      <c r="BD120" s="6">
        <v>32</v>
      </c>
      <c r="BE120" s="6">
        <v>745</v>
      </c>
      <c r="BF120" s="6">
        <v>300</v>
      </c>
      <c r="BG120" s="6">
        <v>861</v>
      </c>
      <c r="BH120" s="6">
        <v>15000</v>
      </c>
      <c r="BI120" s="6">
        <v>12.9</v>
      </c>
    </row>
    <row r="121" spans="1:61" x14ac:dyDescent="0.35">
      <c r="A121">
        <v>2026</v>
      </c>
      <c r="B121" t="s">
        <v>41</v>
      </c>
      <c r="C121" t="s">
        <v>67</v>
      </c>
      <c r="D121" s="1" t="d">
        <v>2024-03-13</v>
      </c>
      <c r="E121" s="11">
        <f>Table1[[#This Row],[year]]-YEAR(Table1[[#This Row],[launch_date]])</f>
        <v>2</v>
      </c>
      <c r="F121">
        <v>0</v>
      </c>
      <c r="G121">
        <f>SKEW(Table1[memory_gb])</f>
        <v>4.4615286901097004</v>
      </c>
      <c r="H121">
        <f>LN(1+Table1[[#This Row],[memory_gb]])</f>
        <v>0</v>
      </c>
      <c r="I121">
        <f>SKEW(Table1[log(memory_gb)])</f>
        <v>-0.12349734745152563</v>
      </c>
      <c r="J121">
        <v>1250</v>
      </c>
      <c r="K121" cm="1">
        <f t="array" ref="K121">SKEW(Table1[fp16_tflops])</f>
        <v>3.0570434318989719</v>
      </c>
      <c r="L121">
        <f>LN(1+Table1[[#This Row],[fp16_tflops]])</f>
        <v>7.1316985104669115</v>
      </c>
      <c r="M121" t="e">
        <f t="shared" si="7"/>
        <v>#DIV/0!</v>
      </c>
      <c r="N121">
        <v>23000</v>
      </c>
      <c r="O121" cm="1">
        <f t="array" ref="O121">SKEW(Table1[tdp_watts])</f>
        <v>6.0149845187563606</v>
      </c>
      <c r="P121">
        <f>LN(1+Table1[[#This Row],[tdp_watts]])</f>
        <v>10.043292972227004</v>
      </c>
      <c r="Q121" s="10">
        <f>(Table1[[#This Row],[fp16_tflops]]/Table1[[#This Row],[tdp_watts]])</f>
        <v>5.434782608695652E-2</v>
      </c>
      <c r="R121">
        <f>SKEW(Table1[log(tdp_watts)])</f>
        <v>1.0730603511378074</v>
      </c>
      <c r="S121">
        <v>746</v>
      </c>
      <c r="T121">
        <f>SKEW(Table1[estimated_shipments_units])</f>
        <v>5.1829756087773573</v>
      </c>
      <c r="U121">
        <f>LN(1+Table1[[#This Row],[estimated_shipments_units]])</f>
        <v>6.6160651851328174</v>
      </c>
      <c r="V121" t="e">
        <f t="shared" si="8"/>
        <v>#DIV/0!</v>
      </c>
      <c r="W121">
        <v>2500000</v>
      </c>
      <c r="X121">
        <f>SKEW(Table1[estimated_asp_usd])</f>
        <v>6.1553602568167474</v>
      </c>
      <c r="Y121">
        <f>LN(1+Table1[[#This Row],[estimated_asp_usd]])</f>
        <v>14.731801689838349</v>
      </c>
      <c r="Z121">
        <f>SKEW(Table1[log(estimated_asp_usd)])</f>
        <v>-2.8993473795412101</v>
      </c>
      <c r="AA121">
        <v>1865</v>
      </c>
      <c r="AB121">
        <f>SKEW(Table1[estimated_revenue_usd_m])</f>
        <v>5.8862244869270315</v>
      </c>
      <c r="AC121">
        <f>LN(1+Table1[[#This Row],[estimated_revenue_usd_m]])</f>
        <v>7.5315523814072893</v>
      </c>
      <c r="AD121">
        <f>SKEW(Table1[log(estimated_revenue_usd)])</f>
        <v>0.29428154884363278</v>
      </c>
      <c r="AE121" t="s">
        <v>68</v>
      </c>
      <c r="BD121" s="7">
        <v>32</v>
      </c>
      <c r="BE121" s="7">
        <v>745</v>
      </c>
      <c r="BF121" s="7">
        <v>300</v>
      </c>
      <c r="BG121" s="7">
        <v>883</v>
      </c>
      <c r="BH121" s="7">
        <v>15000</v>
      </c>
      <c r="BI121" s="7">
        <v>13.2</v>
      </c>
    </row>
  </sheetData>
  <mergeCells count="2">
    <mergeCell ref="AJ2:AL2"/>
    <mergeCell ref="AI3:AL8"/>
  </mergeCells>
  <pageMargins left="0.7" right="0.7" top="0.75" bottom="0.75" header="0.3" footer="0.3"/>
  <pageSetup paperSize="9" orientation="portrait" r:id="rId1"/>
  <tableParts count="1">
    <tablePart r:id="rId2"/>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8E61-E37D-499D-9FE7-D3EC504BFA77}">
  <dimension ref="D59:M76"/>
  <sheetViews>
    <sheetView topLeftCell="B51" workbookViewId="0">
      <selection activeCell="E59" sqref="E59:G59"/>
    </sheetView>
  </sheetViews>
  <sheetFormatPr defaultRowHeight="14.5" x14ac:dyDescent="0.35"/>
  <sheetData>
    <row r="59" spans="4:13" x14ac:dyDescent="0.35">
      <c r="E59" s="12" t="s">
        <v>112</v>
      </c>
      <c r="F59" s="12"/>
      <c r="G59" s="12"/>
    </row>
    <row r="60" spans="4:13" ht="14.5" customHeight="1" x14ac:dyDescent="0.35">
      <c r="D60" s="14" t="s">
        <v>114</v>
      </c>
      <c r="E60" s="14"/>
      <c r="F60" s="14"/>
      <c r="G60" s="14"/>
      <c r="H60" s="14"/>
      <c r="I60" s="14"/>
      <c r="J60" s="14"/>
      <c r="K60" s="15"/>
      <c r="L60" s="15"/>
      <c r="M60" s="15"/>
    </row>
    <row r="61" spans="4:13" x14ac:dyDescent="0.35">
      <c r="D61" s="14"/>
      <c r="E61" s="14"/>
      <c r="F61" s="14"/>
      <c r="G61" s="14"/>
      <c r="H61" s="14"/>
      <c r="I61" s="14"/>
      <c r="J61" s="14"/>
      <c r="K61" s="15"/>
      <c r="L61" s="15"/>
      <c r="M61" s="15"/>
    </row>
    <row r="62" spans="4:13" x14ac:dyDescent="0.35">
      <c r="D62" s="14"/>
      <c r="E62" s="14"/>
      <c r="F62" s="14"/>
      <c r="G62" s="14"/>
      <c r="H62" s="14"/>
      <c r="I62" s="14"/>
      <c r="J62" s="14"/>
      <c r="K62" s="15"/>
      <c r="L62" s="15"/>
      <c r="M62" s="15"/>
    </row>
    <row r="63" spans="4:13" x14ac:dyDescent="0.35">
      <c r="D63" s="14"/>
      <c r="E63" s="14"/>
      <c r="F63" s="14"/>
      <c r="G63" s="14"/>
      <c r="H63" s="14"/>
      <c r="I63" s="14"/>
      <c r="J63" s="14"/>
      <c r="K63" s="15"/>
      <c r="L63" s="15"/>
      <c r="M63" s="15"/>
    </row>
    <row r="64" spans="4:13" x14ac:dyDescent="0.35">
      <c r="D64" s="14"/>
      <c r="E64" s="14"/>
      <c r="F64" s="14"/>
      <c r="G64" s="14"/>
      <c r="H64" s="14"/>
      <c r="I64" s="14"/>
      <c r="J64" s="14"/>
      <c r="K64" s="15"/>
      <c r="L64" s="15"/>
      <c r="M64" s="15"/>
    </row>
    <row r="65" spans="4:13" x14ac:dyDescent="0.35">
      <c r="D65" s="14"/>
      <c r="E65" s="14"/>
      <c r="F65" s="14"/>
      <c r="G65" s="14"/>
      <c r="H65" s="14"/>
      <c r="I65" s="14"/>
      <c r="J65" s="14"/>
      <c r="K65" s="15"/>
      <c r="L65" s="15"/>
      <c r="M65" s="15"/>
    </row>
    <row r="66" spans="4:13" x14ac:dyDescent="0.35">
      <c r="D66" s="14"/>
      <c r="E66" s="14"/>
      <c r="F66" s="14"/>
      <c r="G66" s="14"/>
      <c r="H66" s="14"/>
      <c r="I66" s="14"/>
      <c r="J66" s="14"/>
      <c r="K66" s="15"/>
      <c r="L66" s="15"/>
      <c r="M66" s="15"/>
    </row>
    <row r="67" spans="4:13" x14ac:dyDescent="0.35">
      <c r="D67" s="14"/>
      <c r="E67" s="14"/>
      <c r="F67" s="14"/>
      <c r="G67" s="14"/>
      <c r="H67" s="14"/>
      <c r="I67" s="14"/>
      <c r="J67" s="14"/>
      <c r="K67" s="15"/>
      <c r="L67" s="15"/>
      <c r="M67" s="15"/>
    </row>
    <row r="68" spans="4:13" x14ac:dyDescent="0.35">
      <c r="D68" s="14"/>
      <c r="E68" s="14"/>
      <c r="F68" s="14"/>
      <c r="G68" s="14"/>
      <c r="H68" s="14"/>
      <c r="I68" s="14"/>
      <c r="J68" s="14"/>
      <c r="K68" s="15"/>
      <c r="L68" s="15"/>
      <c r="M68" s="15"/>
    </row>
    <row r="69" spans="4:13" x14ac:dyDescent="0.35">
      <c r="D69" s="14"/>
      <c r="E69" s="14"/>
      <c r="F69" s="14"/>
      <c r="G69" s="14"/>
      <c r="H69" s="14"/>
      <c r="I69" s="14"/>
      <c r="J69" s="14"/>
      <c r="K69" s="15"/>
      <c r="L69" s="15"/>
      <c r="M69" s="15"/>
    </row>
    <row r="70" spans="4:13" x14ac:dyDescent="0.35">
      <c r="D70" s="14"/>
      <c r="E70" s="14"/>
      <c r="F70" s="14"/>
      <c r="G70" s="14"/>
      <c r="H70" s="14"/>
      <c r="I70" s="14"/>
      <c r="J70" s="14"/>
      <c r="K70" s="15"/>
      <c r="L70" s="15"/>
      <c r="M70" s="15"/>
    </row>
    <row r="71" spans="4:13" x14ac:dyDescent="0.35">
      <c r="D71" s="14"/>
      <c r="E71" s="14"/>
      <c r="F71" s="14"/>
      <c r="G71" s="14"/>
      <c r="H71" s="14"/>
      <c r="I71" s="14"/>
      <c r="J71" s="14"/>
      <c r="K71" s="15"/>
      <c r="L71" s="15"/>
      <c r="M71" s="15"/>
    </row>
    <row r="72" spans="4:13" x14ac:dyDescent="0.35">
      <c r="D72" s="14"/>
      <c r="E72" s="14"/>
      <c r="F72" s="14"/>
      <c r="G72" s="14"/>
      <c r="H72" s="14"/>
      <c r="I72" s="14"/>
      <c r="J72" s="14"/>
      <c r="K72" s="15"/>
      <c r="L72" s="15"/>
      <c r="M72" s="15"/>
    </row>
    <row r="73" spans="4:13" x14ac:dyDescent="0.35">
      <c r="D73" s="14"/>
      <c r="E73" s="14"/>
      <c r="F73" s="14"/>
      <c r="G73" s="14"/>
      <c r="H73" s="14"/>
      <c r="I73" s="14"/>
      <c r="J73" s="14"/>
      <c r="K73" s="15"/>
      <c r="L73" s="15"/>
      <c r="M73" s="15"/>
    </row>
    <row r="74" spans="4:13" x14ac:dyDescent="0.35">
      <c r="D74" s="14"/>
      <c r="E74" s="14"/>
      <c r="F74" s="14"/>
      <c r="G74" s="14"/>
      <c r="H74" s="14"/>
      <c r="I74" s="14"/>
      <c r="J74" s="14"/>
      <c r="K74" s="15"/>
      <c r="L74" s="15"/>
      <c r="M74" s="15"/>
    </row>
    <row r="75" spans="4:13" x14ac:dyDescent="0.35">
      <c r="D75" s="14"/>
      <c r="E75" s="14"/>
      <c r="F75" s="14"/>
      <c r="G75" s="14"/>
      <c r="H75" s="14"/>
      <c r="I75" s="14"/>
      <c r="J75" s="14"/>
      <c r="K75" s="15"/>
      <c r="L75" s="15"/>
      <c r="M75" s="15"/>
    </row>
    <row r="76" spans="4:13" x14ac:dyDescent="0.35">
      <c r="D76" s="15"/>
      <c r="E76" s="15"/>
      <c r="F76" s="15"/>
      <c r="G76" s="15"/>
      <c r="H76" s="15"/>
      <c r="I76" s="15"/>
      <c r="J76" s="15"/>
      <c r="K76" s="15"/>
      <c r="L76" s="15"/>
      <c r="M76" s="15"/>
    </row>
  </sheetData>
  <mergeCells count="2">
    <mergeCell ref="D60:J75"/>
    <mergeCell ref="E59:G59"/>
  </mergeCells>
  <pageMargins left="0.7" right="0.7" top="0.75" bottom="0.75" header="0.3" footer="0.3"/>
  <drawing r:id="rId1"/>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E32F-A7AE-40E7-9004-94DF38034804}">
  <dimension ref="A3:I47"/>
  <sheetViews>
    <sheetView topLeftCell="A19" workbookViewId="0">
      <selection activeCell="I43" sqref="I43"/>
    </sheetView>
  </sheetViews>
  <sheetFormatPr defaultRowHeight="14.5" x14ac:dyDescent="0.35"/>
  <cols>
    <col min="1" max="1" width="30.7265625" bestFit="1" customWidth="1"/>
    <col min="2" max="2" width="15.6328125" bestFit="1" customWidth="1"/>
    <col min="3" max="5" width="6.81640625" bestFit="1" customWidth="1"/>
    <col min="6" max="8" width="7.81640625" bestFit="1" customWidth="1"/>
    <col min="9" max="9" width="10.36328125" bestFit="1" customWidth="1"/>
  </cols>
  <sheetData>
    <row r="3" spans="1:9" x14ac:dyDescent="0.35">
      <c r="A3" s="2" t="s">
        <v>106</v>
      </c>
      <c r="B3" s="2" t="s">
        <v>105</v>
      </c>
    </row>
    <row r="4" spans="1:9" x14ac:dyDescent="0.35">
      <c r="A4" s="2" t="s">
        <v>104</v>
      </c>
      <c r="B4">
        <v>2020</v>
      </c>
      <c r="C4">
        <v>2021</v>
      </c>
      <c r="D4">
        <v>2022</v>
      </c>
      <c r="E4">
        <v>2023</v>
      </c>
      <c r="F4">
        <v>2024</v>
      </c>
      <c r="G4">
        <v>2025</v>
      </c>
      <c r="H4">
        <v>2026</v>
      </c>
      <c r="I4" t="s">
        <v>103</v>
      </c>
    </row>
    <row r="5" spans="1:9" x14ac:dyDescent="0.35">
      <c r="A5" s="3" t="s">
        <v>25</v>
      </c>
      <c r="C5">
        <v>23</v>
      </c>
      <c r="D5">
        <v>1030</v>
      </c>
      <c r="E5">
        <v>713</v>
      </c>
      <c r="F5">
        <v>354</v>
      </c>
      <c r="G5">
        <v>122</v>
      </c>
      <c r="H5">
        <v>159</v>
      </c>
      <c r="I5">
        <v>2401</v>
      </c>
    </row>
    <row r="6" spans="1:9" x14ac:dyDescent="0.35">
      <c r="A6" s="3" t="s">
        <v>27</v>
      </c>
      <c r="E6">
        <v>0</v>
      </c>
      <c r="F6">
        <v>414143</v>
      </c>
      <c r="G6">
        <v>369849</v>
      </c>
      <c r="H6">
        <v>162122</v>
      </c>
      <c r="I6">
        <v>946114</v>
      </c>
    </row>
    <row r="7" spans="1:9" x14ac:dyDescent="0.35">
      <c r="A7" s="3" t="s">
        <v>28</v>
      </c>
      <c r="F7">
        <v>2651</v>
      </c>
      <c r="G7">
        <v>52331</v>
      </c>
      <c r="H7">
        <v>39454</v>
      </c>
      <c r="I7">
        <v>94436</v>
      </c>
    </row>
    <row r="8" spans="1:9" x14ac:dyDescent="0.35">
      <c r="A8" s="3" t="s">
        <v>29</v>
      </c>
      <c r="G8">
        <v>138</v>
      </c>
      <c r="H8">
        <v>1393</v>
      </c>
      <c r="I8">
        <v>1531</v>
      </c>
    </row>
    <row r="9" spans="1:9" x14ac:dyDescent="0.35">
      <c r="A9" s="3" t="s">
        <v>52</v>
      </c>
      <c r="F9">
        <v>174</v>
      </c>
      <c r="G9">
        <v>1082</v>
      </c>
      <c r="H9">
        <v>776</v>
      </c>
      <c r="I9">
        <v>2032</v>
      </c>
    </row>
    <row r="10" spans="1:9" x14ac:dyDescent="0.35">
      <c r="A10" s="3" t="s">
        <v>16</v>
      </c>
      <c r="B10">
        <v>32054</v>
      </c>
      <c r="C10">
        <v>204990</v>
      </c>
      <c r="D10">
        <v>145343</v>
      </c>
      <c r="E10">
        <v>76814</v>
      </c>
      <c r="F10">
        <v>28956</v>
      </c>
      <c r="G10">
        <v>26870</v>
      </c>
      <c r="H10">
        <v>32264</v>
      </c>
      <c r="I10">
        <v>547291</v>
      </c>
    </row>
    <row r="11" spans="1:9" x14ac:dyDescent="0.35">
      <c r="A11" s="3" t="s">
        <v>22</v>
      </c>
      <c r="F11">
        <v>5165</v>
      </c>
      <c r="G11">
        <v>126650</v>
      </c>
      <c r="H11">
        <v>86084</v>
      </c>
      <c r="I11">
        <v>217899</v>
      </c>
    </row>
    <row r="12" spans="1:9" x14ac:dyDescent="0.35">
      <c r="A12" s="3" t="s">
        <v>24</v>
      </c>
      <c r="G12">
        <v>0</v>
      </c>
      <c r="H12">
        <v>888</v>
      </c>
      <c r="I12">
        <v>888</v>
      </c>
    </row>
    <row r="13" spans="1:9" x14ac:dyDescent="0.35">
      <c r="A13" s="3" t="s">
        <v>23</v>
      </c>
      <c r="F13">
        <v>2564</v>
      </c>
      <c r="G13">
        <v>45968</v>
      </c>
      <c r="H13">
        <v>40186</v>
      </c>
      <c r="I13">
        <v>88718</v>
      </c>
    </row>
    <row r="14" spans="1:9" x14ac:dyDescent="0.35">
      <c r="A14" s="3" t="s">
        <v>18</v>
      </c>
      <c r="E14">
        <v>582977</v>
      </c>
      <c r="F14">
        <v>2466989</v>
      </c>
      <c r="G14">
        <v>1874943</v>
      </c>
      <c r="H14">
        <v>1126912</v>
      </c>
      <c r="I14">
        <v>6051821</v>
      </c>
    </row>
    <row r="15" spans="1:9" x14ac:dyDescent="0.35">
      <c r="A15" s="3" t="s">
        <v>19</v>
      </c>
      <c r="F15">
        <v>115829</v>
      </c>
      <c r="G15">
        <v>573022</v>
      </c>
      <c r="H15">
        <v>487597</v>
      </c>
      <c r="I15">
        <v>1176448</v>
      </c>
    </row>
    <row r="16" spans="1:9" x14ac:dyDescent="0.35">
      <c r="A16" s="3" t="s">
        <v>20</v>
      </c>
      <c r="E16">
        <v>51592</v>
      </c>
      <c r="F16">
        <v>327147</v>
      </c>
      <c r="G16">
        <v>359171</v>
      </c>
      <c r="H16">
        <v>120445</v>
      </c>
      <c r="I16">
        <v>858355</v>
      </c>
    </row>
    <row r="17" spans="1:9" x14ac:dyDescent="0.35">
      <c r="A17" s="3" t="s">
        <v>11</v>
      </c>
      <c r="B17">
        <v>6128</v>
      </c>
      <c r="C17">
        <v>2719</v>
      </c>
      <c r="D17">
        <v>3098</v>
      </c>
      <c r="E17">
        <v>2572</v>
      </c>
      <c r="F17">
        <v>3437</v>
      </c>
      <c r="G17">
        <v>2504</v>
      </c>
      <c r="H17">
        <v>2873</v>
      </c>
      <c r="I17">
        <v>23331</v>
      </c>
    </row>
    <row r="18" spans="1:9" x14ac:dyDescent="0.35">
      <c r="A18" s="3" t="s">
        <v>103</v>
      </c>
      <c r="B18">
        <v>38182</v>
      </c>
      <c r="C18">
        <v>207732</v>
      </c>
      <c r="D18">
        <v>149471</v>
      </c>
      <c r="E18">
        <v>714668</v>
      </c>
      <c r="F18">
        <v>3367409</v>
      </c>
      <c r="G18">
        <v>3432650</v>
      </c>
      <c r="H18">
        <v>2101153</v>
      </c>
      <c r="I18">
        <v>10011265</v>
      </c>
    </row>
    <row r="36" spans="2:6" x14ac:dyDescent="0.35">
      <c r="B36" s="12" t="s">
        <v>112</v>
      </c>
      <c r="C36" s="12"/>
    </row>
    <row r="37" spans="2:6" ht="14.5" customHeight="1" x14ac:dyDescent="0.35">
      <c r="B37" s="14" t="s">
        <v>115</v>
      </c>
      <c r="C37" s="14"/>
      <c r="D37" s="14"/>
      <c r="E37" s="14"/>
      <c r="F37" s="14"/>
    </row>
    <row r="38" spans="2:6" x14ac:dyDescent="0.35">
      <c r="B38" s="14"/>
      <c r="C38" s="14"/>
      <c r="D38" s="14"/>
      <c r="E38" s="14"/>
      <c r="F38" s="14"/>
    </row>
    <row r="39" spans="2:6" x14ac:dyDescent="0.35">
      <c r="B39" s="14"/>
      <c r="C39" s="14"/>
      <c r="D39" s="14"/>
      <c r="E39" s="14"/>
      <c r="F39" s="14"/>
    </row>
    <row r="40" spans="2:6" x14ac:dyDescent="0.35">
      <c r="B40" s="14"/>
      <c r="C40" s="14"/>
      <c r="D40" s="14"/>
      <c r="E40" s="14"/>
      <c r="F40" s="14"/>
    </row>
    <row r="41" spans="2:6" x14ac:dyDescent="0.35">
      <c r="B41" s="14"/>
      <c r="C41" s="14"/>
      <c r="D41" s="14"/>
      <c r="E41" s="14"/>
      <c r="F41" s="14"/>
    </row>
    <row r="42" spans="2:6" x14ac:dyDescent="0.35">
      <c r="B42" s="14"/>
      <c r="C42" s="14"/>
      <c r="D42" s="14"/>
      <c r="E42" s="14"/>
      <c r="F42" s="14"/>
    </row>
    <row r="43" spans="2:6" x14ac:dyDescent="0.35">
      <c r="B43" s="14"/>
      <c r="C43" s="14"/>
      <c r="D43" s="14"/>
      <c r="E43" s="14"/>
      <c r="F43" s="14"/>
    </row>
    <row r="44" spans="2:6" x14ac:dyDescent="0.35">
      <c r="B44" s="14"/>
      <c r="C44" s="14"/>
      <c r="D44" s="14"/>
      <c r="E44" s="14"/>
      <c r="F44" s="14"/>
    </row>
    <row r="45" spans="2:6" x14ac:dyDescent="0.35">
      <c r="B45" s="14"/>
      <c r="C45" s="14"/>
      <c r="D45" s="14"/>
      <c r="E45" s="14"/>
      <c r="F45" s="14"/>
    </row>
    <row r="46" spans="2:6" x14ac:dyDescent="0.35">
      <c r="B46" s="14"/>
      <c r="C46" s="14"/>
      <c r="D46" s="14"/>
      <c r="E46" s="14"/>
      <c r="F46" s="14"/>
    </row>
    <row r="47" spans="2:6" x14ac:dyDescent="0.35">
      <c r="B47" s="14"/>
      <c r="C47" s="14"/>
      <c r="D47" s="14"/>
      <c r="E47" s="14"/>
      <c r="F47" s="14"/>
    </row>
  </sheetData>
  <mergeCells count="2">
    <mergeCell ref="B36:C36"/>
    <mergeCell ref="B37:F47"/>
  </mergeCells>
  <pageMargins left="0.7" right="0.7" top="0.75" bottom="0.75" header="0.3" footer="0.3"/>
  <drawing r:id="rId2"/>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69107-AFA6-4413-AC2C-8EDA0111024F}">
  <dimension ref="D26:Q76"/>
  <sheetViews>
    <sheetView topLeftCell="H1" zoomScale="98" workbookViewId="0">
      <selection activeCell="D60" sqref="D60:M70"/>
    </sheetView>
  </sheetViews>
  <sheetFormatPr defaultRowHeight="14.5" x14ac:dyDescent="0.35"/>
  <sheetData>
    <row r="26" spans="14:14" x14ac:dyDescent="0.35">
      <c r="N26" t="s">
        <v>111</v>
      </c>
    </row>
    <row r="59" spans="4:17" x14ac:dyDescent="0.35">
      <c r="D59" s="12" t="s">
        <v>112</v>
      </c>
      <c r="E59" s="12"/>
      <c r="F59" s="12"/>
      <c r="G59" s="12"/>
    </row>
    <row r="60" spans="4:17" ht="14.5" customHeight="1" x14ac:dyDescent="0.35">
      <c r="D60" s="14" t="s">
        <v>121</v>
      </c>
      <c r="E60" s="14"/>
      <c r="F60" s="14"/>
      <c r="G60" s="14"/>
      <c r="H60" s="14"/>
      <c r="I60" s="14"/>
      <c r="J60" s="14"/>
      <c r="K60" s="14"/>
      <c r="L60" s="14"/>
      <c r="M60" s="14"/>
      <c r="N60" s="13"/>
      <c r="O60" s="13"/>
      <c r="P60" s="13"/>
      <c r="Q60" s="13"/>
    </row>
    <row r="61" spans="4:17" x14ac:dyDescent="0.35">
      <c r="D61" s="14"/>
      <c r="E61" s="14"/>
      <c r="F61" s="14"/>
      <c r="G61" s="14"/>
      <c r="H61" s="14"/>
      <c r="I61" s="14"/>
      <c r="J61" s="14"/>
      <c r="K61" s="14"/>
      <c r="L61" s="14"/>
      <c r="M61" s="14"/>
      <c r="N61" s="13"/>
      <c r="O61" s="13"/>
      <c r="P61" s="13"/>
      <c r="Q61" s="13"/>
    </row>
    <row r="62" spans="4:17" x14ac:dyDescent="0.35">
      <c r="D62" s="14"/>
      <c r="E62" s="14"/>
      <c r="F62" s="14"/>
      <c r="G62" s="14"/>
      <c r="H62" s="14"/>
      <c r="I62" s="14"/>
      <c r="J62" s="14"/>
      <c r="K62" s="14"/>
      <c r="L62" s="14"/>
      <c r="M62" s="14"/>
      <c r="N62" s="13"/>
      <c r="O62" s="13"/>
      <c r="P62" s="13"/>
      <c r="Q62" s="13"/>
    </row>
    <row r="63" spans="4:17" x14ac:dyDescent="0.35">
      <c r="D63" s="14"/>
      <c r="E63" s="14"/>
      <c r="F63" s="14"/>
      <c r="G63" s="14"/>
      <c r="H63" s="14"/>
      <c r="I63" s="14"/>
      <c r="J63" s="14"/>
      <c r="K63" s="14"/>
      <c r="L63" s="14"/>
      <c r="M63" s="14"/>
      <c r="N63" s="13"/>
      <c r="O63" s="13"/>
      <c r="P63" s="13"/>
      <c r="Q63" s="13"/>
    </row>
    <row r="64" spans="4:17" x14ac:dyDescent="0.35">
      <c r="D64" s="14"/>
      <c r="E64" s="14"/>
      <c r="F64" s="14"/>
      <c r="G64" s="14"/>
      <c r="H64" s="14"/>
      <c r="I64" s="14"/>
      <c r="J64" s="14"/>
      <c r="K64" s="14"/>
      <c r="L64" s="14"/>
      <c r="M64" s="14"/>
      <c r="N64" s="13"/>
      <c r="O64" s="13"/>
      <c r="P64" s="13"/>
      <c r="Q64" s="13"/>
    </row>
    <row r="65" spans="4:17" x14ac:dyDescent="0.35">
      <c r="D65" s="14"/>
      <c r="E65" s="14"/>
      <c r="F65" s="14"/>
      <c r="G65" s="14"/>
      <c r="H65" s="14"/>
      <c r="I65" s="14"/>
      <c r="J65" s="14"/>
      <c r="K65" s="14"/>
      <c r="L65" s="14"/>
      <c r="M65" s="14"/>
      <c r="N65" s="13"/>
      <c r="O65" s="13"/>
      <c r="P65" s="13"/>
      <c r="Q65" s="13"/>
    </row>
    <row r="66" spans="4:17" x14ac:dyDescent="0.35">
      <c r="D66" s="14"/>
      <c r="E66" s="14"/>
      <c r="F66" s="14"/>
      <c r="G66" s="14"/>
      <c r="H66" s="14"/>
      <c r="I66" s="14"/>
      <c r="J66" s="14"/>
      <c r="K66" s="14"/>
      <c r="L66" s="14"/>
      <c r="M66" s="14"/>
      <c r="N66" s="13"/>
      <c r="O66" s="13"/>
      <c r="P66" s="13"/>
      <c r="Q66" s="13"/>
    </row>
    <row r="67" spans="4:17" x14ac:dyDescent="0.35">
      <c r="D67" s="14"/>
      <c r="E67" s="14"/>
      <c r="F67" s="14"/>
      <c r="G67" s="14"/>
      <c r="H67" s="14"/>
      <c r="I67" s="14"/>
      <c r="J67" s="14"/>
      <c r="K67" s="14"/>
      <c r="L67" s="14"/>
      <c r="M67" s="14"/>
      <c r="N67" s="13"/>
      <c r="O67" s="13"/>
      <c r="P67" s="13"/>
      <c r="Q67" s="13"/>
    </row>
    <row r="68" spans="4:17" x14ac:dyDescent="0.35">
      <c r="D68" s="14"/>
      <c r="E68" s="14"/>
      <c r="F68" s="14"/>
      <c r="G68" s="14"/>
      <c r="H68" s="14"/>
      <c r="I68" s="14"/>
      <c r="J68" s="14"/>
      <c r="K68" s="14"/>
      <c r="L68" s="14"/>
      <c r="M68" s="14"/>
      <c r="N68" s="13"/>
      <c r="O68" s="13"/>
      <c r="P68" s="13"/>
      <c r="Q68" s="13"/>
    </row>
    <row r="69" spans="4:17" x14ac:dyDescent="0.35">
      <c r="D69" s="14"/>
      <c r="E69" s="14"/>
      <c r="F69" s="14"/>
      <c r="G69" s="14"/>
      <c r="H69" s="14"/>
      <c r="I69" s="14"/>
      <c r="J69" s="14"/>
      <c r="K69" s="14"/>
      <c r="L69" s="14"/>
      <c r="M69" s="14"/>
      <c r="N69" s="13"/>
      <c r="O69" s="13"/>
      <c r="P69" s="13"/>
      <c r="Q69" s="13"/>
    </row>
    <row r="70" spans="4:17" x14ac:dyDescent="0.35">
      <c r="D70" s="14"/>
      <c r="E70" s="14"/>
      <c r="F70" s="14"/>
      <c r="G70" s="14"/>
      <c r="H70" s="14"/>
      <c r="I70" s="14"/>
      <c r="J70" s="14"/>
      <c r="K70" s="14"/>
      <c r="L70" s="14"/>
      <c r="M70" s="14"/>
      <c r="N70" s="13"/>
      <c r="O70" s="13"/>
      <c r="P70" s="13"/>
      <c r="Q70" s="13"/>
    </row>
    <row r="71" spans="4:17" x14ac:dyDescent="0.35">
      <c r="D71" s="13"/>
      <c r="E71" s="13"/>
      <c r="F71" s="13"/>
      <c r="G71" s="13"/>
      <c r="H71" s="13"/>
      <c r="I71" s="13"/>
      <c r="J71" s="13"/>
      <c r="K71" s="13"/>
      <c r="L71" s="13"/>
      <c r="M71" s="13"/>
      <c r="N71" s="13"/>
      <c r="O71" s="13"/>
      <c r="P71" s="13"/>
      <c r="Q71" s="13"/>
    </row>
    <row r="72" spans="4:17" x14ac:dyDescent="0.35">
      <c r="D72" s="13"/>
      <c r="E72" s="13"/>
      <c r="F72" s="13"/>
      <c r="G72" s="13"/>
      <c r="H72" s="13"/>
      <c r="I72" s="13"/>
      <c r="J72" s="13"/>
      <c r="K72" s="13"/>
      <c r="L72" s="13"/>
      <c r="M72" s="13"/>
      <c r="N72" s="13"/>
      <c r="O72" s="13"/>
      <c r="P72" s="13"/>
      <c r="Q72" s="13"/>
    </row>
    <row r="73" spans="4:17" x14ac:dyDescent="0.35">
      <c r="D73" s="13"/>
      <c r="E73" s="13"/>
      <c r="F73" s="13"/>
      <c r="G73" s="13"/>
      <c r="H73" s="13"/>
      <c r="I73" s="13"/>
      <c r="J73" s="13"/>
      <c r="K73" s="13"/>
      <c r="L73" s="13"/>
      <c r="M73" s="13"/>
      <c r="N73" s="13"/>
      <c r="O73" s="13"/>
      <c r="P73" s="13"/>
      <c r="Q73" s="13"/>
    </row>
    <row r="74" spans="4:17" x14ac:dyDescent="0.35">
      <c r="D74" s="13"/>
      <c r="E74" s="13"/>
      <c r="F74" s="13"/>
      <c r="G74" s="13"/>
      <c r="H74" s="13"/>
      <c r="I74" s="13"/>
      <c r="J74" s="13"/>
      <c r="K74" s="13"/>
      <c r="L74" s="13"/>
      <c r="M74" s="13"/>
      <c r="N74" s="13"/>
      <c r="O74" s="13"/>
      <c r="P74" s="13"/>
      <c r="Q74" s="13"/>
    </row>
    <row r="75" spans="4:17" x14ac:dyDescent="0.35">
      <c r="D75" s="13"/>
      <c r="E75" s="13"/>
      <c r="F75" s="13"/>
      <c r="G75" s="13"/>
      <c r="H75" s="13"/>
      <c r="I75" s="13"/>
      <c r="J75" s="13"/>
      <c r="K75" s="13"/>
      <c r="L75" s="13"/>
      <c r="M75" s="13"/>
      <c r="N75" s="13"/>
      <c r="O75" s="13"/>
      <c r="P75" s="13"/>
      <c r="Q75" s="13"/>
    </row>
    <row r="76" spans="4:17" x14ac:dyDescent="0.35">
      <c r="D76" s="13"/>
      <c r="E76" s="13"/>
      <c r="F76" s="13"/>
      <c r="G76" s="13"/>
      <c r="H76" s="13"/>
      <c r="I76" s="13"/>
      <c r="J76" s="13"/>
      <c r="K76" s="13"/>
      <c r="L76" s="13"/>
      <c r="M76" s="13"/>
      <c r="N76" s="13"/>
      <c r="O76" s="13"/>
      <c r="P76" s="13"/>
      <c r="Q76" s="13"/>
    </row>
  </sheetData>
  <mergeCells count="2">
    <mergeCell ref="D59:G59"/>
    <mergeCell ref="D60:M70"/>
  </mergeCells>
  <pageMargins left="0.7" right="0.7" top="0.75" bottom="0.75" header="0.3" footer="0.3"/>
  <drawing r:id="rId1"/>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EE09-F099-41D8-AA14-2578796AB888}">
  <dimension ref="A3:C41"/>
  <sheetViews>
    <sheetView topLeftCell="A15" workbookViewId="0">
      <selection activeCell="F36" sqref="F36"/>
    </sheetView>
  </sheetViews>
  <sheetFormatPr defaultRowHeight="14.5" x14ac:dyDescent="0.35"/>
  <cols>
    <col min="1" max="1" width="16.08984375" bestFit="1" customWidth="1"/>
    <col min="2" max="2" width="30.7265625" bestFit="1" customWidth="1"/>
    <col min="3" max="3" width="17.08984375" bestFit="1" customWidth="1"/>
  </cols>
  <sheetData>
    <row r="3" spans="1:3" x14ac:dyDescent="0.35">
      <c r="A3" s="2" t="s">
        <v>108</v>
      </c>
      <c r="B3" t="s">
        <v>106</v>
      </c>
      <c r="C3" t="s">
        <v>107</v>
      </c>
    </row>
    <row r="4" spans="1:3" x14ac:dyDescent="0.35">
      <c r="A4" s="3" t="s">
        <v>19</v>
      </c>
      <c r="B4">
        <v>1176448</v>
      </c>
      <c r="C4" s="1" t="d">
        <v>2024-04-15</v>
      </c>
    </row>
    <row r="5" spans="1:3" x14ac:dyDescent="0.35">
      <c r="A5" s="3" t="s">
        <v>34</v>
      </c>
      <c r="B5">
        <v>587840</v>
      </c>
      <c r="C5" s="1" t="d">
        <v>2023-12-06</v>
      </c>
    </row>
    <row r="6" spans="1:3" x14ac:dyDescent="0.35">
      <c r="A6" s="3" t="s">
        <v>16</v>
      </c>
      <c r="B6">
        <v>547291</v>
      </c>
      <c r="C6" s="1" t="d">
        <v>2020-05-14</v>
      </c>
    </row>
    <row r="7" spans="1:3" x14ac:dyDescent="0.35">
      <c r="A7" s="3" t="s">
        <v>22</v>
      </c>
      <c r="B7">
        <v>217899</v>
      </c>
      <c r="C7" s="1" t="d">
        <v>2024-10-30</v>
      </c>
    </row>
    <row r="8" spans="1:3" x14ac:dyDescent="0.35">
      <c r="A8" s="3" t="s">
        <v>38</v>
      </c>
      <c r="B8">
        <v>150189</v>
      </c>
      <c r="C8" s="1" t="d">
        <v>2024-12-03</v>
      </c>
    </row>
    <row r="9" spans="1:3" x14ac:dyDescent="0.35">
      <c r="A9" s="3" t="s">
        <v>44</v>
      </c>
      <c r="B9">
        <v>7839</v>
      </c>
      <c r="C9" s="1" t="d">
        <v>2023-09-19</v>
      </c>
    </row>
    <row r="10" spans="1:3" x14ac:dyDescent="0.35">
      <c r="A10" s="3" t="s">
        <v>32</v>
      </c>
      <c r="B10">
        <v>2911</v>
      </c>
      <c r="C10" s="1" t="d">
        <v>2021-05-18</v>
      </c>
    </row>
    <row r="11" spans="1:3" x14ac:dyDescent="0.35">
      <c r="A11" s="3" t="s">
        <v>31</v>
      </c>
      <c r="B11">
        <v>1868</v>
      </c>
      <c r="C11" s="1" t="d">
        <v>2018-05-08</v>
      </c>
    </row>
    <row r="12" spans="1:3" x14ac:dyDescent="0.35">
      <c r="A12" s="3" t="s">
        <v>53</v>
      </c>
      <c r="B12">
        <v>856</v>
      </c>
      <c r="C12" s="1" t="d">
        <v>2025-10-30</v>
      </c>
    </row>
    <row r="13" spans="1:3" x14ac:dyDescent="0.35">
      <c r="A13" s="3" t="s">
        <v>103</v>
      </c>
      <c r="B13">
        <v>2693141</v>
      </c>
      <c r="C13" s="1" t="d">
        <v>2025-10-30</v>
      </c>
    </row>
    <row r="34" spans="2:3" x14ac:dyDescent="0.35">
      <c r="B34" s="12" t="s">
        <v>112</v>
      </c>
      <c r="C34" s="12"/>
    </row>
    <row r="35" spans="2:3" x14ac:dyDescent="0.35">
      <c r="B35" s="14" t="s">
        <v>116</v>
      </c>
      <c r="C35" s="14"/>
    </row>
    <row r="36" spans="2:3" x14ac:dyDescent="0.35">
      <c r="B36" s="14"/>
      <c r="C36" s="14"/>
    </row>
    <row r="37" spans="2:3" x14ac:dyDescent="0.35">
      <c r="B37" s="14"/>
      <c r="C37" s="14"/>
    </row>
    <row r="38" spans="2:3" x14ac:dyDescent="0.35">
      <c r="B38" s="14"/>
      <c r="C38" s="14"/>
    </row>
    <row r="39" spans="2:3" x14ac:dyDescent="0.35">
      <c r="B39" s="14"/>
      <c r="C39" s="14"/>
    </row>
    <row r="40" spans="2:3" x14ac:dyDescent="0.35">
      <c r="B40" s="14"/>
      <c r="C40" s="14"/>
    </row>
    <row r="41" spans="2:3" x14ac:dyDescent="0.35">
      <c r="B41" s="14"/>
      <c r="C41" s="14"/>
    </row>
  </sheetData>
  <mergeCells count="2">
    <mergeCell ref="B34:C34"/>
    <mergeCell ref="B35:C41"/>
  </mergeCells>
  <pageMargins left="0.7" right="0.7" top="0.75" bottom="0.75" header="0.3" footer="0.3"/>
  <drawing r:id="rId2"/>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4E8CE-A829-4E16-9BAF-97AF2229D544}">
  <dimension ref="A3:E41"/>
  <sheetViews>
    <sheetView topLeftCell="A15" workbookViewId="0">
      <selection activeCell="C35" sqref="C35:E41"/>
    </sheetView>
  </sheetViews>
  <sheetFormatPr defaultRowHeight="14.5" x14ac:dyDescent="0.35"/>
  <cols>
    <col min="1" max="1" width="12.453125" bestFit="1" customWidth="1"/>
    <col min="2" max="2" width="18.08984375" bestFit="1" customWidth="1"/>
    <col min="3" max="3" width="15.26953125" bestFit="1" customWidth="1"/>
  </cols>
  <sheetData>
    <row r="3" spans="1:2" x14ac:dyDescent="0.35">
      <c r="A3" s="2" t="s">
        <v>5</v>
      </c>
      <c r="B3" t="s">
        <v>117</v>
      </c>
    </row>
    <row r="4" spans="1:2" x14ac:dyDescent="0.35">
      <c r="A4" s="3">
        <v>1250</v>
      </c>
      <c r="B4" s="16">
        <v>23000</v>
      </c>
    </row>
    <row r="5" spans="1:2" x14ac:dyDescent="0.35">
      <c r="A5" s="3">
        <v>5000</v>
      </c>
      <c r="B5" s="16">
        <v>2700</v>
      </c>
    </row>
    <row r="6" spans="1:2" x14ac:dyDescent="0.35">
      <c r="A6" s="3">
        <v>3500</v>
      </c>
      <c r="B6" s="16">
        <v>1400</v>
      </c>
    </row>
    <row r="7" spans="1:2" x14ac:dyDescent="0.35">
      <c r="A7" s="3">
        <v>1850</v>
      </c>
      <c r="B7" s="16">
        <v>1000</v>
      </c>
    </row>
    <row r="8" spans="1:2" x14ac:dyDescent="0.35">
      <c r="A8" s="3">
        <v>2250</v>
      </c>
      <c r="B8" s="16">
        <v>1000</v>
      </c>
    </row>
    <row r="9" spans="1:2" x14ac:dyDescent="0.35">
      <c r="A9" s="3">
        <v>1300</v>
      </c>
      <c r="B9" s="16">
        <v>857.14285714285711</v>
      </c>
    </row>
    <row r="10" spans="1:2" x14ac:dyDescent="0.35">
      <c r="A10" s="3">
        <v>989</v>
      </c>
      <c r="B10" s="16">
        <v>700</v>
      </c>
    </row>
    <row r="11" spans="1:2" x14ac:dyDescent="0.35">
      <c r="A11" s="3">
        <v>650</v>
      </c>
      <c r="B11" s="16">
        <v>500</v>
      </c>
    </row>
    <row r="12" spans="1:2" x14ac:dyDescent="0.35">
      <c r="A12" s="3">
        <v>383</v>
      </c>
      <c r="B12" s="16">
        <v>500</v>
      </c>
    </row>
    <row r="13" spans="1:2" x14ac:dyDescent="0.35">
      <c r="A13" s="3">
        <v>800</v>
      </c>
      <c r="B13" s="16">
        <v>450</v>
      </c>
    </row>
    <row r="14" spans="1:2" x14ac:dyDescent="0.35">
      <c r="A14" s="3">
        <v>312</v>
      </c>
      <c r="B14" s="16">
        <v>400</v>
      </c>
    </row>
    <row r="15" spans="1:2" x14ac:dyDescent="0.35">
      <c r="A15" s="3">
        <v>512</v>
      </c>
      <c r="B15" s="16">
        <v>392</v>
      </c>
    </row>
    <row r="16" spans="1:2" x14ac:dyDescent="0.35">
      <c r="A16" s="3">
        <v>362</v>
      </c>
      <c r="B16" s="16">
        <v>350</v>
      </c>
    </row>
    <row r="17" spans="1:2" x14ac:dyDescent="0.35">
      <c r="A17" s="3">
        <v>750</v>
      </c>
      <c r="B17" s="16">
        <v>350</v>
      </c>
    </row>
    <row r="18" spans="1:2" x14ac:dyDescent="0.35">
      <c r="A18" s="3">
        <v>1500</v>
      </c>
      <c r="B18" s="16">
        <v>300</v>
      </c>
    </row>
    <row r="19" spans="1:2" x14ac:dyDescent="0.35">
      <c r="A19" s="3">
        <v>745</v>
      </c>
      <c r="B19" s="16">
        <v>300</v>
      </c>
    </row>
    <row r="20" spans="1:2" x14ac:dyDescent="0.35">
      <c r="A20" s="3">
        <v>100</v>
      </c>
      <c r="B20" s="16">
        <v>300</v>
      </c>
    </row>
    <row r="21" spans="1:2" x14ac:dyDescent="0.35">
      <c r="A21" s="3">
        <v>510</v>
      </c>
      <c r="B21" s="16">
        <v>300</v>
      </c>
    </row>
    <row r="22" spans="1:2" x14ac:dyDescent="0.35">
      <c r="A22" s="3">
        <v>256</v>
      </c>
      <c r="B22" s="16">
        <v>282.30769230769232</v>
      </c>
    </row>
    <row r="23" spans="1:2" x14ac:dyDescent="0.35">
      <c r="A23" s="3">
        <v>123</v>
      </c>
      <c r="B23" s="16">
        <v>220</v>
      </c>
    </row>
    <row r="24" spans="1:2" x14ac:dyDescent="0.35">
      <c r="A24" s="3">
        <v>926</v>
      </c>
      <c r="B24" s="16">
        <v>200</v>
      </c>
    </row>
    <row r="25" spans="1:2" x14ac:dyDescent="0.35">
      <c r="A25" s="3">
        <v>190</v>
      </c>
      <c r="B25" s="16">
        <v>175</v>
      </c>
    </row>
    <row r="26" spans="1:2" x14ac:dyDescent="0.35">
      <c r="A26" s="3">
        <v>275</v>
      </c>
      <c r="B26" s="16">
        <v>170</v>
      </c>
    </row>
    <row r="27" spans="1:2" x14ac:dyDescent="0.35">
      <c r="A27" s="3">
        <v>459</v>
      </c>
      <c r="B27" s="16">
        <v>170</v>
      </c>
    </row>
    <row r="28" spans="1:2" x14ac:dyDescent="0.35">
      <c r="A28" s="3">
        <v>197</v>
      </c>
      <c r="B28" s="16">
        <v>170</v>
      </c>
    </row>
    <row r="29" spans="1:2" x14ac:dyDescent="0.35">
      <c r="A29" s="3">
        <v>60</v>
      </c>
      <c r="B29" s="16">
        <v>28</v>
      </c>
    </row>
    <row r="30" spans="1:2" x14ac:dyDescent="0.35">
      <c r="A30" s="3">
        <v>38</v>
      </c>
      <c r="B30" s="16">
        <v>23</v>
      </c>
    </row>
    <row r="31" spans="1:2" x14ac:dyDescent="0.35">
      <c r="A31" s="3" t="s">
        <v>103</v>
      </c>
      <c r="B31" s="16">
        <v>1020.4833333333333</v>
      </c>
    </row>
    <row r="34" spans="3:5" x14ac:dyDescent="0.35">
      <c r="C34" s="12" t="s">
        <v>112</v>
      </c>
      <c r="D34" s="12"/>
      <c r="E34" s="12"/>
    </row>
    <row r="35" spans="3:5" x14ac:dyDescent="0.35">
      <c r="C35" s="14" t="s">
        <v>118</v>
      </c>
      <c r="D35" s="14"/>
      <c r="E35" s="14"/>
    </row>
    <row r="36" spans="3:5" x14ac:dyDescent="0.35">
      <c r="C36" s="14"/>
      <c r="D36" s="14"/>
      <c r="E36" s="14"/>
    </row>
    <row r="37" spans="3:5" x14ac:dyDescent="0.35">
      <c r="C37" s="14"/>
      <c r="D37" s="14"/>
      <c r="E37" s="14"/>
    </row>
    <row r="38" spans="3:5" x14ac:dyDescent="0.35">
      <c r="C38" s="14"/>
      <c r="D38" s="14"/>
      <c r="E38" s="14"/>
    </row>
    <row r="39" spans="3:5" x14ac:dyDescent="0.35">
      <c r="C39" s="14"/>
      <c r="D39" s="14"/>
      <c r="E39" s="14"/>
    </row>
    <row r="40" spans="3:5" x14ac:dyDescent="0.35">
      <c r="C40" s="14"/>
      <c r="D40" s="14"/>
      <c r="E40" s="14"/>
    </row>
    <row r="41" spans="3:5" x14ac:dyDescent="0.35">
      <c r="C41" s="14"/>
      <c r="D41" s="14"/>
      <c r="E41" s="14"/>
    </row>
  </sheetData>
  <mergeCells count="2">
    <mergeCell ref="C34:E34"/>
    <mergeCell ref="C35:E41"/>
  </mergeCells>
  <pageMargins left="0.7" right="0.7" top="0.75" bottom="0.75" header="0.3" footer="0.3"/>
  <drawing r:id="rId2"/>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3766C-B8A6-4957-B06E-41322CC5E9C9}">
  <dimension ref="A1"/>
  <sheetViews>
    <sheetView tabSelected="1" workbookViewId="0">
      <selection activeCell="M16" sqref="M16"/>
    </sheetView>
  </sheetViews>
  <sheetFormatPr defaultRowHeight="14.5" x14ac:dyDescent="0.35"/>
  <sheetData/>
  <pageMargins left="0.7" right="0.7" top="0.75" bottom="0.75" header="0.3" footer="0.3"/>
  <drawing r:id="rId1"/>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95DC-EB49-4EF4-ABEC-6941C0EAE487}">
  <dimension ref="A1:G33"/>
  <sheetViews>
    <sheetView workbookViewId="0">
      <selection activeCell="A36" sqref="A36"/>
    </sheetView>
  </sheetViews>
  <sheetFormatPr defaultRowHeight="14.5" x14ac:dyDescent="0.35"/>
  <cols>
    <col min="1" max="1" width="23.36328125" bestFit="1" customWidth="1"/>
    <col min="2" max="2" width="12.453125" bestFit="1" customWidth="1"/>
    <col min="3" max="3" width="11.81640625" bestFit="1" customWidth="1"/>
    <col min="4" max="4" width="12.453125" bestFit="1" customWidth="1"/>
    <col min="5" max="5" width="23.7265625" bestFit="1" customWidth="1"/>
    <col min="6" max="6" width="17.08984375" bestFit="1" customWidth="1"/>
    <col min="7" max="7" width="23.1796875" bestFit="1" customWidth="1"/>
  </cols>
  <sheetData>
    <row r="1" spans="1:7" x14ac:dyDescent="0.35">
      <c r="A1" s="9"/>
      <c r="B1" s="9" t="s">
        <v>4</v>
      </c>
      <c r="C1" s="9" t="s">
        <v>5</v>
      </c>
      <c r="D1" s="9" t="s">
        <v>6</v>
      </c>
      <c r="E1" s="9" t="s">
        <v>7</v>
      </c>
      <c r="F1" s="9" t="s">
        <v>8</v>
      </c>
      <c r="G1" s="9" t="s">
        <v>9</v>
      </c>
    </row>
    <row r="2" spans="1:7" x14ac:dyDescent="0.35">
      <c r="A2" t="s">
        <v>4</v>
      </c>
      <c r="B2">
        <v>1</v>
      </c>
    </row>
    <row r="3" spans="1:7" x14ac:dyDescent="0.35">
      <c r="A3" t="s">
        <v>5</v>
      </c>
      <c r="B3">
        <v>0.22391134449220632</v>
      </c>
      <c r="C3">
        <v>1</v>
      </c>
    </row>
    <row r="4" spans="1:7" x14ac:dyDescent="0.35">
      <c r="A4" t="s">
        <v>6</v>
      </c>
      <c r="B4">
        <v>-5.083478227666733E-2</v>
      </c>
      <c r="C4">
        <v>0.20843595616927635</v>
      </c>
      <c r="D4">
        <v>1</v>
      </c>
    </row>
    <row r="5" spans="1:7" x14ac:dyDescent="0.35">
      <c r="A5" t="s">
        <v>7</v>
      </c>
      <c r="B5">
        <v>-6.4096316903682296E-2</v>
      </c>
      <c r="C5">
        <v>4.0504304573850847E-2</v>
      </c>
      <c r="D5">
        <v>-4.8191441232299959E-2</v>
      </c>
      <c r="E5">
        <v>1</v>
      </c>
    </row>
    <row r="6" spans="1:7" x14ac:dyDescent="0.35">
      <c r="A6" t="s">
        <v>8</v>
      </c>
      <c r="B6">
        <v>-7.4066827024266202E-2</v>
      </c>
      <c r="C6">
        <v>0.11258461081339732</v>
      </c>
      <c r="D6">
        <v>0.99462269779046297</v>
      </c>
      <c r="E6">
        <v>-5.4040811007902215E-2</v>
      </c>
      <c r="F6">
        <v>1</v>
      </c>
    </row>
    <row r="7" spans="1:7" ht="15" thickBot="1" x14ac:dyDescent="0.4">
      <c r="A7" s="8" t="s">
        <v>9</v>
      </c>
      <c r="B7" s="8">
        <v>-4.1045312583943713E-2</v>
      </c>
      <c r="C7" s="8">
        <v>7.9503659733351967E-2</v>
      </c>
      <c r="D7" s="8">
        <v>3.9561440889223271E-4</v>
      </c>
      <c r="E7" s="8">
        <v>0.97417423950959514</v>
      </c>
      <c r="F7" s="8">
        <v>-9.3342949866625224E-3</v>
      </c>
      <c r="G7" s="8">
        <v>1</v>
      </c>
    </row>
    <row r="10" spans="1:7" x14ac:dyDescent="0.35">
      <c r="A10" s="12" t="s">
        <v>112</v>
      </c>
      <c r="B10" s="12"/>
    </row>
    <row r="11" spans="1:7" ht="14.5" customHeight="1" x14ac:dyDescent="0.35">
      <c r="A11" s="14" t="s">
        <v>119</v>
      </c>
      <c r="B11" s="14"/>
    </row>
    <row r="12" spans="1:7" x14ac:dyDescent="0.35">
      <c r="A12" s="14"/>
      <c r="B12" s="14"/>
    </row>
    <row r="13" spans="1:7" x14ac:dyDescent="0.35">
      <c r="A13" s="14"/>
      <c r="B13" s="14"/>
    </row>
    <row r="14" spans="1:7" x14ac:dyDescent="0.35">
      <c r="A14" s="14"/>
      <c r="B14" s="14"/>
    </row>
    <row r="15" spans="1:7" x14ac:dyDescent="0.35">
      <c r="A15" s="14"/>
      <c r="B15" s="14"/>
    </row>
    <row r="16" spans="1:7" x14ac:dyDescent="0.35">
      <c r="A16" s="14"/>
      <c r="B16" s="14"/>
    </row>
    <row r="17" spans="1:2" x14ac:dyDescent="0.35">
      <c r="A17" s="14"/>
      <c r="B17" s="14"/>
    </row>
    <row r="18" spans="1:2" x14ac:dyDescent="0.35">
      <c r="A18" s="14"/>
      <c r="B18" s="14"/>
    </row>
    <row r="19" spans="1:2" x14ac:dyDescent="0.35">
      <c r="A19" s="14"/>
      <c r="B19" s="14"/>
    </row>
    <row r="20" spans="1:2" x14ac:dyDescent="0.35">
      <c r="A20" s="14"/>
      <c r="B20" s="14"/>
    </row>
    <row r="21" spans="1:2" x14ac:dyDescent="0.35">
      <c r="A21" s="14"/>
      <c r="B21" s="14"/>
    </row>
    <row r="22" spans="1:2" x14ac:dyDescent="0.35">
      <c r="A22" s="14"/>
      <c r="B22" s="14"/>
    </row>
    <row r="23" spans="1:2" x14ac:dyDescent="0.35">
      <c r="A23" s="14"/>
      <c r="B23" s="14"/>
    </row>
    <row r="24" spans="1:2" x14ac:dyDescent="0.35">
      <c r="A24" s="14"/>
      <c r="B24" s="14"/>
    </row>
    <row r="25" spans="1:2" x14ac:dyDescent="0.35">
      <c r="A25" s="14"/>
      <c r="B25" s="14"/>
    </row>
    <row r="26" spans="1:2" x14ac:dyDescent="0.35">
      <c r="A26" s="14"/>
      <c r="B26" s="14"/>
    </row>
    <row r="27" spans="1:2" x14ac:dyDescent="0.35">
      <c r="A27" s="14"/>
      <c r="B27" s="14"/>
    </row>
    <row r="28" spans="1:2" x14ac:dyDescent="0.35">
      <c r="A28" s="14"/>
      <c r="B28" s="14"/>
    </row>
    <row r="29" spans="1:2" x14ac:dyDescent="0.35">
      <c r="A29" s="14"/>
      <c r="B29" s="14"/>
    </row>
    <row r="30" spans="1:2" x14ac:dyDescent="0.35">
      <c r="A30" s="14"/>
      <c r="B30" s="14"/>
    </row>
    <row r="31" spans="1:2" x14ac:dyDescent="0.35">
      <c r="A31" s="14"/>
      <c r="B31" s="14"/>
    </row>
    <row r="32" spans="1:2" x14ac:dyDescent="0.35">
      <c r="A32" s="14"/>
      <c r="B32" s="14"/>
    </row>
    <row r="33" spans="1:2" x14ac:dyDescent="0.35">
      <c r="A33" s="14"/>
      <c r="B33" s="14"/>
    </row>
  </sheetData>
  <mergeCells count="2">
    <mergeCell ref="A10:B10"/>
    <mergeCell ref="A11:B33"/>
  </mergeCells>
  <pageMargins left="0.7" right="0.7" top="0.75" bottom="0.75" header="0.3" footer="0.3"/>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81D80-19B4-4B98-A7D9-5A893B0FE7F7}">
  <dimension ref="A3:AF53"/>
  <sheetViews>
    <sheetView topLeftCell="A27" workbookViewId="0">
      <selection activeCell="D47" sqref="D47"/>
    </sheetView>
  </sheetViews>
  <sheetFormatPr defaultRowHeight="14.5" x14ac:dyDescent="0.35"/>
  <cols>
    <col min="1" max="1" width="30.7265625" bestFit="1" customWidth="1"/>
    <col min="2" max="2" width="15.6328125" bestFit="1" customWidth="1"/>
    <col min="3" max="4" width="11.08984375" bestFit="1" customWidth="1"/>
    <col min="5" max="5" width="10" bestFit="1" customWidth="1"/>
    <col min="6" max="7" width="13.81640625" bestFit="1" customWidth="1"/>
    <col min="8" max="8" width="14.26953125" bestFit="1" customWidth="1"/>
    <col min="9" max="9" width="13.54296875" bestFit="1" customWidth="1"/>
    <col min="10" max="10" width="17.26953125" bestFit="1" customWidth="1"/>
    <col min="11" max="11" width="14.1796875" bestFit="1" customWidth="1"/>
    <col min="12" max="13" width="12.453125" bestFit="1" customWidth="1"/>
    <col min="14" max="14" width="13.54296875" bestFit="1" customWidth="1"/>
    <col min="15" max="15" width="13.6328125" bestFit="1" customWidth="1"/>
    <col min="16" max="16" width="19.453125" bestFit="1" customWidth="1"/>
    <col min="17" max="17" width="12.453125" bestFit="1" customWidth="1"/>
    <col min="18" max="18" width="8.453125" bestFit="1" customWidth="1"/>
    <col min="19" max="19" width="17.1796875" bestFit="1" customWidth="1"/>
    <col min="20" max="20" width="18.26953125" bestFit="1" customWidth="1"/>
    <col min="21" max="21" width="18.453125" bestFit="1" customWidth="1"/>
    <col min="22" max="24" width="11.08984375" bestFit="1" customWidth="1"/>
    <col min="25" max="25" width="12.36328125" bestFit="1" customWidth="1"/>
    <col min="26" max="27" width="11.26953125" bestFit="1" customWidth="1"/>
    <col min="28" max="28" width="11" bestFit="1" customWidth="1"/>
    <col min="29" max="29" width="11.08984375" bestFit="1" customWidth="1"/>
    <col min="30" max="30" width="16.54296875" bestFit="1" customWidth="1"/>
    <col min="31" max="31" width="19.1796875" bestFit="1" customWidth="1"/>
    <col min="32" max="32" width="10.36328125" bestFit="1" customWidth="1"/>
  </cols>
  <sheetData>
    <row r="3" spans="1:32" x14ac:dyDescent="0.35">
      <c r="A3" s="2" t="s">
        <v>106</v>
      </c>
      <c r="B3" s="2" t="s">
        <v>105</v>
      </c>
    </row>
    <row r="4" spans="1:32" x14ac:dyDescent="0.35">
      <c r="A4" s="2" t="s">
        <v>102</v>
      </c>
      <c r="B4" t="s">
        <v>25</v>
      </c>
      <c r="C4" t="s">
        <v>27</v>
      </c>
      <c r="D4" t="s">
        <v>28</v>
      </c>
      <c r="E4" t="s">
        <v>29</v>
      </c>
      <c r="F4" t="s">
        <v>52</v>
      </c>
      <c r="G4" t="s">
        <v>53</v>
      </c>
      <c r="H4" t="s">
        <v>40</v>
      </c>
      <c r="I4" t="s">
        <v>38</v>
      </c>
      <c r="J4" t="s">
        <v>51</v>
      </c>
      <c r="K4" t="s">
        <v>41</v>
      </c>
      <c r="L4" t="s">
        <v>31</v>
      </c>
      <c r="M4" t="s">
        <v>32</v>
      </c>
      <c r="N4" t="s">
        <v>33</v>
      </c>
      <c r="O4" t="s">
        <v>34</v>
      </c>
      <c r="P4" t="s">
        <v>36</v>
      </c>
      <c r="Q4" t="s">
        <v>37</v>
      </c>
      <c r="R4" t="s">
        <v>42</v>
      </c>
      <c r="S4" t="s">
        <v>48</v>
      </c>
      <c r="T4" t="s">
        <v>49</v>
      </c>
      <c r="U4" t="s">
        <v>50</v>
      </c>
      <c r="V4" t="s">
        <v>16</v>
      </c>
      <c r="W4" t="s">
        <v>22</v>
      </c>
      <c r="X4" t="s">
        <v>24</v>
      </c>
      <c r="Y4" t="s">
        <v>23</v>
      </c>
      <c r="Z4" t="s">
        <v>18</v>
      </c>
      <c r="AA4" t="s">
        <v>19</v>
      </c>
      <c r="AB4" t="s">
        <v>20</v>
      </c>
      <c r="AC4" t="s">
        <v>11</v>
      </c>
      <c r="AD4" t="s">
        <v>44</v>
      </c>
      <c r="AE4" t="s">
        <v>45</v>
      </c>
      <c r="AF4" t="s">
        <v>103</v>
      </c>
    </row>
    <row r="5" spans="1:32" x14ac:dyDescent="0.35">
      <c r="A5" s="3">
        <v>0</v>
      </c>
      <c r="B5">
        <v>23</v>
      </c>
      <c r="C5">
        <v>0</v>
      </c>
      <c r="D5">
        <v>2651</v>
      </c>
      <c r="E5">
        <v>138</v>
      </c>
      <c r="F5">
        <v>174</v>
      </c>
      <c r="G5">
        <v>47</v>
      </c>
      <c r="H5">
        <v>0</v>
      </c>
      <c r="I5">
        <v>0</v>
      </c>
      <c r="J5">
        <v>32</v>
      </c>
      <c r="K5">
        <v>228</v>
      </c>
      <c r="M5">
        <v>148</v>
      </c>
      <c r="N5">
        <v>59908</v>
      </c>
      <c r="O5">
        <v>0</v>
      </c>
      <c r="P5">
        <v>46633</v>
      </c>
      <c r="Q5">
        <v>0</v>
      </c>
      <c r="R5">
        <v>8709</v>
      </c>
      <c r="T5">
        <v>31695</v>
      </c>
      <c r="U5">
        <v>3425</v>
      </c>
      <c r="V5">
        <v>32054</v>
      </c>
      <c r="W5">
        <v>5165</v>
      </c>
      <c r="X5">
        <v>0</v>
      </c>
      <c r="Y5">
        <v>2564</v>
      </c>
      <c r="Z5">
        <v>582977</v>
      </c>
      <c r="AA5">
        <v>115829</v>
      </c>
      <c r="AB5">
        <v>51592</v>
      </c>
      <c r="AD5">
        <v>258</v>
      </c>
      <c r="AE5">
        <v>81</v>
      </c>
      <c r="AF5">
        <v>944331</v>
      </c>
    </row>
    <row r="6" spans="1:32" x14ac:dyDescent="0.35">
      <c r="A6" s="3">
        <v>1</v>
      </c>
      <c r="B6">
        <v>1030</v>
      </c>
      <c r="C6">
        <v>414143</v>
      </c>
      <c r="D6">
        <v>52331</v>
      </c>
      <c r="E6">
        <v>1393</v>
      </c>
      <c r="F6">
        <v>1082</v>
      </c>
      <c r="G6">
        <v>809</v>
      </c>
      <c r="H6">
        <v>182522</v>
      </c>
      <c r="I6">
        <v>67686</v>
      </c>
      <c r="J6">
        <v>1041</v>
      </c>
      <c r="K6">
        <v>1116</v>
      </c>
      <c r="M6">
        <v>1195</v>
      </c>
      <c r="N6">
        <v>761631</v>
      </c>
      <c r="O6">
        <v>272799</v>
      </c>
      <c r="P6">
        <v>305904</v>
      </c>
      <c r="Q6">
        <v>801</v>
      </c>
      <c r="R6">
        <v>25845</v>
      </c>
      <c r="S6">
        <v>1077</v>
      </c>
      <c r="T6">
        <v>327421</v>
      </c>
      <c r="U6">
        <v>42439</v>
      </c>
      <c r="V6">
        <v>204990</v>
      </c>
      <c r="W6">
        <v>126650</v>
      </c>
      <c r="X6">
        <v>888</v>
      </c>
      <c r="Y6">
        <v>45968</v>
      </c>
      <c r="Z6">
        <v>2466989</v>
      </c>
      <c r="AA6">
        <v>573022</v>
      </c>
      <c r="AB6">
        <v>327147</v>
      </c>
      <c r="AD6">
        <v>3312</v>
      </c>
      <c r="AE6">
        <v>861</v>
      </c>
      <c r="AF6">
        <v>6212092</v>
      </c>
    </row>
    <row r="7" spans="1:32" x14ac:dyDescent="0.35">
      <c r="A7" s="3">
        <v>2</v>
      </c>
      <c r="B7">
        <v>713</v>
      </c>
      <c r="C7">
        <v>369849</v>
      </c>
      <c r="D7">
        <v>39454</v>
      </c>
      <c r="F7">
        <v>776</v>
      </c>
      <c r="H7">
        <v>111438</v>
      </c>
      <c r="I7">
        <v>82503</v>
      </c>
      <c r="J7">
        <v>846</v>
      </c>
      <c r="K7">
        <v>746</v>
      </c>
      <c r="L7">
        <v>747</v>
      </c>
      <c r="M7">
        <v>878</v>
      </c>
      <c r="N7">
        <v>491607</v>
      </c>
      <c r="O7">
        <v>214821</v>
      </c>
      <c r="P7">
        <v>237500</v>
      </c>
      <c r="R7">
        <v>25084</v>
      </c>
      <c r="S7">
        <v>812</v>
      </c>
      <c r="T7">
        <v>222897</v>
      </c>
      <c r="U7">
        <v>32195</v>
      </c>
      <c r="V7">
        <v>145343</v>
      </c>
      <c r="W7">
        <v>86084</v>
      </c>
      <c r="Y7">
        <v>40186</v>
      </c>
      <c r="Z7">
        <v>1874943</v>
      </c>
      <c r="AA7">
        <v>487597</v>
      </c>
      <c r="AB7">
        <v>359171</v>
      </c>
      <c r="AD7">
        <v>3199</v>
      </c>
      <c r="AE7">
        <v>883</v>
      </c>
      <c r="AF7">
        <v>4830272</v>
      </c>
    </row>
    <row r="8" spans="1:32" x14ac:dyDescent="0.35">
      <c r="A8" s="3">
        <v>3</v>
      </c>
      <c r="B8">
        <v>354</v>
      </c>
      <c r="C8">
        <v>162122</v>
      </c>
      <c r="H8">
        <v>66238</v>
      </c>
      <c r="J8">
        <v>381</v>
      </c>
      <c r="L8">
        <v>361</v>
      </c>
      <c r="M8">
        <v>330</v>
      </c>
      <c r="N8">
        <v>238991</v>
      </c>
      <c r="O8">
        <v>100220</v>
      </c>
      <c r="S8">
        <v>337</v>
      </c>
      <c r="T8">
        <v>91465</v>
      </c>
      <c r="V8">
        <v>76814</v>
      </c>
      <c r="Z8">
        <v>1126912</v>
      </c>
      <c r="AB8">
        <v>120445</v>
      </c>
      <c r="AC8">
        <v>6128</v>
      </c>
      <c r="AD8">
        <v>1070</v>
      </c>
      <c r="AF8">
        <v>1992168</v>
      </c>
    </row>
    <row r="9" spans="1:32" x14ac:dyDescent="0.35">
      <c r="A9" s="3">
        <v>4</v>
      </c>
      <c r="B9">
        <v>122</v>
      </c>
      <c r="H9">
        <v>21199</v>
      </c>
      <c r="J9">
        <v>146</v>
      </c>
      <c r="L9">
        <v>160</v>
      </c>
      <c r="M9">
        <v>195</v>
      </c>
      <c r="S9">
        <v>168</v>
      </c>
      <c r="V9">
        <v>28956</v>
      </c>
      <c r="AC9">
        <v>2719</v>
      </c>
      <c r="AF9">
        <v>53665</v>
      </c>
    </row>
    <row r="10" spans="1:32" x14ac:dyDescent="0.35">
      <c r="A10" s="3">
        <v>5</v>
      </c>
      <c r="B10">
        <v>159</v>
      </c>
      <c r="J10">
        <v>173</v>
      </c>
      <c r="L10">
        <v>155</v>
      </c>
      <c r="M10">
        <v>165</v>
      </c>
      <c r="S10">
        <v>124</v>
      </c>
      <c r="V10">
        <v>26870</v>
      </c>
      <c r="AC10">
        <v>3098</v>
      </c>
      <c r="AF10">
        <v>30744</v>
      </c>
    </row>
    <row r="11" spans="1:32" x14ac:dyDescent="0.35">
      <c r="A11" s="3">
        <v>6</v>
      </c>
      <c r="L11">
        <v>121</v>
      </c>
      <c r="S11">
        <v>178</v>
      </c>
      <c r="V11">
        <v>32264</v>
      </c>
      <c r="AC11">
        <v>2572</v>
      </c>
      <c r="AF11">
        <v>35135</v>
      </c>
    </row>
    <row r="12" spans="1:32" x14ac:dyDescent="0.35">
      <c r="A12" s="3">
        <v>7</v>
      </c>
      <c r="L12">
        <v>177</v>
      </c>
      <c r="S12">
        <v>230</v>
      </c>
      <c r="AC12">
        <v>3437</v>
      </c>
      <c r="AF12">
        <v>3844</v>
      </c>
    </row>
    <row r="13" spans="1:32" x14ac:dyDescent="0.35">
      <c r="A13" s="3">
        <v>8</v>
      </c>
      <c r="L13">
        <v>147</v>
      </c>
      <c r="AC13">
        <v>2504</v>
      </c>
      <c r="AF13">
        <v>2651</v>
      </c>
    </row>
    <row r="14" spans="1:32" x14ac:dyDescent="0.35">
      <c r="A14" s="3">
        <v>9</v>
      </c>
      <c r="AC14">
        <v>2873</v>
      </c>
      <c r="AF14">
        <v>2873</v>
      </c>
    </row>
    <row r="15" spans="1:32" x14ac:dyDescent="0.35">
      <c r="A15" s="3" t="s">
        <v>103</v>
      </c>
      <c r="B15">
        <v>2401</v>
      </c>
      <c r="C15">
        <v>946114</v>
      </c>
      <c r="D15">
        <v>94436</v>
      </c>
      <c r="E15">
        <v>1531</v>
      </c>
      <c r="F15">
        <v>2032</v>
      </c>
      <c r="G15">
        <v>856</v>
      </c>
      <c r="H15">
        <v>381397</v>
      </c>
      <c r="I15">
        <v>150189</v>
      </c>
      <c r="J15">
        <v>2619</v>
      </c>
      <c r="K15">
        <v>2090</v>
      </c>
      <c r="L15">
        <v>1868</v>
      </c>
      <c r="M15">
        <v>2911</v>
      </c>
      <c r="N15">
        <v>1552137</v>
      </c>
      <c r="O15">
        <v>587840</v>
      </c>
      <c r="P15">
        <v>590037</v>
      </c>
      <c r="Q15">
        <v>801</v>
      </c>
      <c r="R15">
        <v>59638</v>
      </c>
      <c r="S15">
        <v>2926</v>
      </c>
      <c r="T15">
        <v>673478</v>
      </c>
      <c r="U15">
        <v>78059</v>
      </c>
      <c r="V15">
        <v>547291</v>
      </c>
      <c r="W15">
        <v>217899</v>
      </c>
      <c r="X15">
        <v>888</v>
      </c>
      <c r="Y15">
        <v>88718</v>
      </c>
      <c r="Z15">
        <v>6051821</v>
      </c>
      <c r="AA15">
        <v>1176448</v>
      </c>
      <c r="AB15">
        <v>858355</v>
      </c>
      <c r="AC15">
        <v>23331</v>
      </c>
      <c r="AD15">
        <v>7839</v>
      </c>
      <c r="AE15">
        <v>1825</v>
      </c>
      <c r="AF15">
        <v>14107775</v>
      </c>
    </row>
    <row r="37" spans="1:2" x14ac:dyDescent="0.35">
      <c r="A37" s="12" t="s">
        <v>112</v>
      </c>
      <c r="B37" s="12"/>
    </row>
    <row r="38" spans="1:2" x14ac:dyDescent="0.35">
      <c r="A38" s="14" t="s">
        <v>120</v>
      </c>
      <c r="B38" s="14"/>
    </row>
    <row r="39" spans="1:2" x14ac:dyDescent="0.35">
      <c r="A39" s="14"/>
      <c r="B39" s="14"/>
    </row>
    <row r="40" spans="1:2" x14ac:dyDescent="0.35">
      <c r="A40" s="14"/>
      <c r="B40" s="14"/>
    </row>
    <row r="41" spans="1:2" x14ac:dyDescent="0.35">
      <c r="A41" s="14"/>
      <c r="B41" s="14"/>
    </row>
    <row r="42" spans="1:2" x14ac:dyDescent="0.35">
      <c r="A42" s="14"/>
      <c r="B42" s="14"/>
    </row>
    <row r="43" spans="1:2" x14ac:dyDescent="0.35">
      <c r="A43" s="14"/>
      <c r="B43" s="14"/>
    </row>
    <row r="44" spans="1:2" x14ac:dyDescent="0.35">
      <c r="A44" s="14"/>
      <c r="B44" s="14"/>
    </row>
    <row r="45" spans="1:2" x14ac:dyDescent="0.35">
      <c r="A45" s="14"/>
      <c r="B45" s="14"/>
    </row>
    <row r="46" spans="1:2" x14ac:dyDescent="0.35">
      <c r="A46" s="14"/>
      <c r="B46" s="14"/>
    </row>
    <row r="47" spans="1:2" x14ac:dyDescent="0.35">
      <c r="A47" s="14"/>
      <c r="B47" s="14"/>
    </row>
    <row r="48" spans="1:2" x14ac:dyDescent="0.35">
      <c r="A48" s="14"/>
      <c r="B48" s="14"/>
    </row>
    <row r="49" spans="1:2" x14ac:dyDescent="0.35">
      <c r="A49" s="14"/>
      <c r="B49" s="14"/>
    </row>
    <row r="50" spans="1:2" x14ac:dyDescent="0.35">
      <c r="A50" s="14"/>
      <c r="B50" s="14"/>
    </row>
    <row r="51" spans="1:2" x14ac:dyDescent="0.35">
      <c r="A51" s="14"/>
      <c r="B51" s="14"/>
    </row>
    <row r="52" spans="1:2" x14ac:dyDescent="0.35">
      <c r="A52" s="14"/>
      <c r="B52" s="14"/>
    </row>
    <row r="53" spans="1:2" x14ac:dyDescent="0.35">
      <c r="A53" s="14"/>
      <c r="B53" s="14"/>
    </row>
  </sheetData>
  <mergeCells count="2">
    <mergeCell ref="A37:B37"/>
    <mergeCell ref="A38:B53"/>
  </mergeCells>
  <pageMargins left="0.7" right="0.7" top="0.75" bottom="0.75" header="0.3" footer="0.3"/>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ai_chip_market</vt:lpstr>
      <vt:lpstr> skewness </vt:lpstr>
      <vt:lpstr>shipment revenue</vt:lpstr>
      <vt:lpstr>Time-Based Trends</vt:lpstr>
      <vt:lpstr>Total shipment by chip</vt:lpstr>
      <vt:lpstr>Compute efficiency</vt:lpstr>
      <vt:lpstr>chip efficency</vt:lpstr>
      <vt:lpstr>correlation matrix</vt:lpstr>
      <vt:lpstr>lifecycle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 SADOH</dc:creator>
  <cp:lastModifiedBy>LEVI SADOH</cp:lastModifiedBy>
  <dcterms:created xsi:type="dcterms:W3CDTF">2026-07-14T08:01:13Z</dcterms:created>
  <dcterms:modified xsi:type="dcterms:W3CDTF">2026-07-15T13:02:16Z</dcterms:modified>
</cp:coreProperties>
</file>